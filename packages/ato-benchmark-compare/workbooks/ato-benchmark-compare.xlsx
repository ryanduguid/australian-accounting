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mc:AlternateContent>
  <xr:revisionPtr revIDLastSave="0" documentId="13_ncr:1_{2BDC12F1-D8FC-4D88-83EC-17F5D50B7CDF}" xr6:coauthVersionLast="47" xr6:coauthVersionMax="47" xr10:uidLastSave="{00000000-0000-0000-0000-000000000000}"/>
  <bookViews>
    <workbookView xWindow="-105" yWindow="-210" windowWidth="26010" windowHeight="21705" xr2:uid="{00000000-000D-0000-FFFF-FFFF00000000}"/>
  </bookViews>
  <sheets>
    <sheet name="Start Here" sheetId="1" r:id="rId1"/>
    <sheet name="P&amp;L Import" sheetId="2" r:id="rId2"/>
    <sheet name="Mapping" sheetId="3" r:id="rId3"/>
    <sheet name="Benchmarks" sheetId="4" r:id="rId4"/>
    <sheet name="Calculation" sheetId="5" r:id="rId5"/>
    <sheet name="Results" sheetId="6" r:id="rId6"/>
    <sheet name="Review Checks" sheetId="7" r:id="rId7"/>
    <sheet name="Sources &amp; Version"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 i="7" l="1"/>
  <c r="C7" i="7"/>
  <c r="B7" i="7"/>
  <c r="C3" i="7"/>
  <c r="B10" i="6"/>
  <c r="B35" i="5"/>
  <c r="B6" i="5"/>
  <c r="E28" i="3"/>
  <c r="E27" i="3"/>
  <c r="E26" i="3"/>
  <c r="E25" i="3"/>
  <c r="E24" i="3"/>
  <c r="E23" i="3"/>
  <c r="E22" i="3"/>
  <c r="E21" i="3"/>
  <c r="E20" i="3"/>
  <c r="E19" i="3"/>
  <c r="E18" i="3"/>
  <c r="E17" i="3"/>
  <c r="E16" i="3"/>
  <c r="E15" i="3"/>
  <c r="C28" i="2" s="1"/>
  <c r="E14" i="3"/>
  <c r="E13" i="3"/>
  <c r="E12" i="3"/>
  <c r="E11" i="3"/>
  <c r="E10" i="3"/>
  <c r="E9" i="3"/>
  <c r="E8" i="3"/>
  <c r="E7" i="3"/>
  <c r="E6" i="3"/>
  <c r="E5" i="3"/>
  <c r="E4" i="3"/>
  <c r="E3" i="3"/>
  <c r="E2" i="3"/>
  <c r="F28" i="2"/>
  <c r="E28" i="2"/>
  <c r="D28" i="2"/>
  <c r="F27" i="2"/>
  <c r="E27" i="2"/>
  <c r="D27" i="2"/>
  <c r="C27" i="2"/>
  <c r="F26" i="2"/>
  <c r="E26" i="2"/>
  <c r="D26" i="2"/>
  <c r="F25" i="2"/>
  <c r="E25" i="2"/>
  <c r="D25" i="2"/>
  <c r="C25" i="2"/>
  <c r="F24" i="2"/>
  <c r="C24" i="2" s="1"/>
  <c r="E24" i="2"/>
  <c r="D24" i="2"/>
  <c r="F23" i="2"/>
  <c r="E23" i="2"/>
  <c r="D23" i="2"/>
  <c r="F22" i="2"/>
  <c r="C22" i="2" s="1"/>
  <c r="E22" i="2"/>
  <c r="D22" i="2"/>
  <c r="F21" i="2"/>
  <c r="E21" i="2"/>
  <c r="D21" i="2"/>
  <c r="C21" i="2"/>
  <c r="F20" i="2"/>
  <c r="C20" i="2" s="1"/>
  <c r="E20" i="2"/>
  <c r="D20" i="2"/>
  <c r="F19" i="2"/>
  <c r="E19" i="2"/>
  <c r="D19" i="2"/>
  <c r="C19" i="2"/>
  <c r="F18" i="2"/>
  <c r="E18" i="2"/>
  <c r="D18" i="2"/>
  <c r="C18" i="2"/>
  <c r="F17" i="2"/>
  <c r="C17" i="2" s="1"/>
  <c r="E17" i="2"/>
  <c r="D17" i="2"/>
  <c r="F16" i="2"/>
  <c r="E16" i="2"/>
  <c r="D16" i="2"/>
  <c r="C16" i="2"/>
  <c r="F15" i="2"/>
  <c r="C15" i="2" s="1"/>
  <c r="E15" i="2"/>
  <c r="D15" i="2"/>
  <c r="F14" i="2"/>
  <c r="E14" i="2"/>
  <c r="D14" i="2"/>
  <c r="C14" i="2"/>
  <c r="F13" i="2"/>
  <c r="E13" i="2"/>
  <c r="D13" i="2"/>
  <c r="C13" i="2"/>
  <c r="F12" i="2"/>
  <c r="E12" i="2"/>
  <c r="D12" i="2"/>
  <c r="C12" i="2"/>
  <c r="F11" i="2"/>
  <c r="E11" i="2"/>
  <c r="D11" i="2"/>
  <c r="C11" i="2"/>
  <c r="F10" i="2"/>
  <c r="C10" i="2" s="1"/>
  <c r="E10" i="2"/>
  <c r="D10" i="2"/>
  <c r="F9" i="2"/>
  <c r="C9" i="2" s="1"/>
  <c r="E9" i="2"/>
  <c r="D9" i="2"/>
  <c r="F8" i="2"/>
  <c r="E8" i="2"/>
  <c r="D8" i="2"/>
  <c r="C8" i="2"/>
  <c r="F7" i="2"/>
  <c r="E7" i="2"/>
  <c r="D7" i="2"/>
  <c r="C7" i="2"/>
  <c r="F6" i="2"/>
  <c r="E6" i="2"/>
  <c r="D6" i="2"/>
  <c r="C6" i="2"/>
  <c r="F5" i="2"/>
  <c r="E5" i="2"/>
  <c r="D5" i="2"/>
  <c r="C5" i="2"/>
  <c r="F4" i="2"/>
  <c r="E4" i="2"/>
  <c r="C12" i="7" s="1"/>
  <c r="D4" i="2"/>
  <c r="C4" i="2"/>
  <c r="F3" i="2"/>
  <c r="E3" i="2"/>
  <c r="D3" i="2"/>
  <c r="C3" i="2"/>
  <c r="F2" i="2"/>
  <c r="C5" i="7" s="1" a="1"/>
  <c r="C5" i="7" s="1"/>
  <c r="E2" i="2"/>
  <c r="D2" i="2"/>
  <c r="C4" i="7" s="1"/>
  <c r="C2" i="2"/>
  <c r="B3" i="7" l="1"/>
  <c r="D3" i="7" a="1"/>
  <c r="D3" i="7" s="1"/>
  <c r="B9" i="7"/>
  <c r="B36" i="5"/>
  <c r="C6" i="7" a="1"/>
  <c r="C6" i="7" s="1"/>
  <c r="C26" i="2"/>
  <c r="C23" i="2"/>
  <c r="D12" i="7" a="1"/>
  <c r="D12" i="7" s="1"/>
  <c r="B12" i="7"/>
  <c r="D5" i="7" a="1"/>
  <c r="D5" i="7" s="1"/>
  <c r="B5" i="7"/>
  <c r="D4" i="7" a="1"/>
  <c r="D4" i="7" s="1"/>
  <c r="B4" i="7"/>
  <c r="D6" i="7" l="1" a="1"/>
  <c r="D6" i="7" s="1"/>
  <c r="B6" i="7"/>
  <c r="B11" i="5"/>
  <c r="B12" i="5"/>
  <c r="B17" i="5"/>
  <c r="B16" i="5"/>
  <c r="B14" i="5"/>
  <c r="B26" i="5" s="1"/>
  <c r="A19" i="7" s="1"/>
  <c r="B13" i="5"/>
  <c r="B10" i="5"/>
  <c r="B9" i="5"/>
  <c r="B21" i="5" s="1"/>
  <c r="B18" i="5"/>
  <c r="B8" i="5"/>
  <c r="B20" i="5" s="1"/>
  <c r="C2" i="7"/>
  <c r="B15" i="5"/>
  <c r="A21" i="7" l="1"/>
  <c r="B28" i="5"/>
  <c r="B25" i="5"/>
  <c r="B27" i="5" s="1"/>
  <c r="B22" i="5"/>
  <c r="D2" i="7" a="1"/>
  <c r="D2" i="7" s="1"/>
  <c r="B2" i="7"/>
  <c r="B29" i="5"/>
  <c r="A18" i="7"/>
  <c r="A22" i="7" l="1"/>
  <c r="B37" i="5"/>
  <c r="A20" i="7"/>
  <c r="B30" i="5"/>
  <c r="B31" i="5" s="1"/>
  <c r="C4" i="6" s="1"/>
  <c r="A17" i="7"/>
  <c r="B24" i="5"/>
  <c r="A16" i="7" s="1"/>
  <c r="B23" i="5"/>
  <c r="C2" i="6" s="1"/>
  <c r="G6" i="6" l="1"/>
  <c r="G5" i="6"/>
  <c r="G4" i="6"/>
  <c r="G3" i="6"/>
  <c r="G2" i="6"/>
  <c r="C8" i="7"/>
  <c r="B8" i="7"/>
  <c r="B8" i="6"/>
  <c r="B32" i="5"/>
  <c r="B33" i="5" s="1"/>
  <c r="C6" i="6"/>
  <c r="C5" i="6"/>
  <c r="C3" i="6"/>
  <c r="B34" i="5" l="1"/>
  <c r="D3" i="6"/>
  <c r="E3" i="6"/>
  <c r="D4" i="6"/>
  <c r="E4" i="6"/>
  <c r="D5" i="6"/>
  <c r="E5" i="6"/>
  <c r="D6" i="6"/>
  <c r="E6" i="6"/>
  <c r="B10" i="7"/>
  <c r="D2" i="6"/>
  <c r="E2" i="6"/>
  <c r="H3" i="6" l="1"/>
  <c r="F3" i="6"/>
  <c r="B9" i="6"/>
  <c r="C10" i="7"/>
  <c r="H4" i="6"/>
  <c r="F4" i="6"/>
  <c r="H5" i="6"/>
  <c r="F5" i="6"/>
  <c r="H6" i="6"/>
  <c r="F6" i="6"/>
  <c r="H2" i="6"/>
  <c r="A23" i="7" s="1"/>
  <c r="F2" i="6"/>
  <c r="C11" i="7" s="1"/>
  <c r="B11" i="7" s="1"/>
  <c r="B13" i="7" s="1"/>
  <c r="A11" i="1" s="1"/>
</calcChain>
</file>

<file path=xl/sharedStrings.xml><?xml version="1.0" encoding="utf-8"?>
<sst xmlns="http://schemas.openxmlformats.org/spreadsheetml/2006/main" count="5730" uniqueCount="539">
  <si>
    <t>ATO small business benchmark comparison</t>
  </si>
  <si>
    <t>1. On P&amp;L Import, paste account names and amounts over the example rows. Account cells are Text; nothing pasted there is evaluated.</t>
  </si>
  <si>
    <t>2. On Mapping, give every account a bucket and set Source to reviewed. A suggested or missing mapping blocks the result.</t>
  </si>
  <si>
    <t>3. On Calculation, choose the benchmark year and industry. Enter W1 if the activity statement labour figure is higher than wages. Set B4 to Y if the export shows expenses as negatives.</t>
  </si>
  <si>
    <t>4. Read Results and Review Checks. The overall status below is BLOCKED, REVIEW or PASS; blank or an error is never a pass.</t>
  </si>
  <si>
    <t>5. Sitting outside a published range is not a finding. The ATO ranges are review prompts, and the judgement stays with you. Nothing leaves this workbook.</t>
  </si>
  <si>
    <t>6. Benchmarks and Sources &amp; Version hold the published ranges, their provenance and the engine version this workbook was checked against.</t>
  </si>
  <si>
    <t>Overall status</t>
  </si>
  <si>
    <t>ato-benchmark-compare workbook, engine 0.2.0. Macro-free. Not advice; see DISCLAIMER.md in the repository.</t>
  </si>
  <si>
    <t>Account</t>
  </si>
  <si>
    <t>Amount</t>
  </si>
  <si>
    <t>Bucket</t>
  </si>
  <si>
    <t>Guard</t>
  </si>
  <si>
    <t>Sample</t>
  </si>
  <si>
    <t>Key</t>
  </si>
  <si>
    <t>Sales - bread and rolls</t>
  </si>
  <si>
    <t>Sales - cakes and pastries</t>
  </si>
  <si>
    <t>Interest received</t>
  </si>
  <si>
    <t>Total Income</t>
  </si>
  <si>
    <t>Flour and ingredients</t>
  </si>
  <si>
    <t>Packaging</t>
  </si>
  <si>
    <t>Freight inwards</t>
  </si>
  <si>
    <t>Bakery wages</t>
  </si>
  <si>
    <t>Total Cost of Sales</t>
  </si>
  <si>
    <t>Gross Profit</t>
  </si>
  <si>
    <t>Accounting fees</t>
  </si>
  <si>
    <t>Advertising</t>
  </si>
  <si>
    <t>Bank fees</t>
  </si>
  <si>
    <t>Cleaning contractor</t>
  </si>
  <si>
    <t>Depreciation</t>
  </si>
  <si>
    <t>Electricity</t>
  </si>
  <si>
    <t>Insurance</t>
  </si>
  <si>
    <t>Motor vehicle expenses</t>
  </si>
  <si>
    <t>Rent</t>
  </si>
  <si>
    <t>Repairs and maintenance</t>
  </si>
  <si>
    <t>Shop wages</t>
  </si>
  <si>
    <t>Superannuation</t>
  </si>
  <si>
    <t>Wages - director spouse</t>
  </si>
  <si>
    <t>Total Operating Expenses</t>
  </si>
  <si>
    <t>Net Profit before tax</t>
  </si>
  <si>
    <t>Income tax expense</t>
  </si>
  <si>
    <t>Net Profit</t>
  </si>
  <si>
    <t>Source</t>
  </si>
  <si>
    <t>Note</t>
  </si>
  <si>
    <t>turnover</t>
  </si>
  <si>
    <t>reviewed</t>
  </si>
  <si>
    <t>sales wording</t>
  </si>
  <si>
    <t>other_income</t>
  </si>
  <si>
    <t>not sales of goods or services</t>
  </si>
  <si>
    <t>excluded</t>
  </si>
  <si>
    <t>looks like a subtotal row, so it is left out</t>
  </si>
  <si>
    <t>cost_of_sales</t>
  </si>
  <si>
    <t>in the cost of sales section, no more specific rule matched</t>
  </si>
  <si>
    <t>cost_of_sales_labour</t>
  </si>
  <si>
    <t>wages inside the cost of sales section</t>
  </si>
  <si>
    <t>other_expense</t>
  </si>
  <si>
    <t>in the expense section, no more specific rule matched</t>
  </si>
  <si>
    <t>contractor_commission</t>
  </si>
  <si>
    <t>contractor wording</t>
  </si>
  <si>
    <t>motor_vehicle</t>
  </si>
  <si>
    <t>motor vehicle wording</t>
  </si>
  <si>
    <t>rent</t>
  </si>
  <si>
    <t>rent wording</t>
  </si>
  <si>
    <t>salary_wages</t>
  </si>
  <si>
    <t>salary and wages wording</t>
  </si>
  <si>
    <t>superannuation is its own ATO label</t>
  </si>
  <si>
    <t>associated_persons</t>
  </si>
  <si>
    <t>named as an associate, related party or spouse</t>
  </si>
  <si>
    <t>income tax is outside the ATO expense labels</t>
  </si>
  <si>
    <t>Year</t>
  </si>
  <si>
    <t>Industry</t>
  </si>
  <si>
    <t>KeyRatio</t>
  </si>
  <si>
    <t>Band</t>
  </si>
  <si>
    <t>Label</t>
  </si>
  <si>
    <t>From</t>
  </si>
  <si>
    <t>FromInclusive</t>
  </si>
  <si>
    <t>To</t>
  </si>
  <si>
    <t>CostOfSalesMin</t>
  </si>
  <si>
    <t>CostOfSalesMax</t>
  </si>
  <si>
    <t>TotalExpensesMin</t>
  </si>
  <si>
    <t>TotalExpensesMax</t>
  </si>
  <si>
    <t>Retrieved</t>
  </si>
  <si>
    <t>Sha256</t>
  </si>
  <si>
    <t>LabourMin</t>
  </si>
  <si>
    <t>LabourMax</t>
  </si>
  <si>
    <t>RentMin</t>
  </si>
  <si>
    <t>RentMax</t>
  </si>
  <si>
    <t>MotorVehicleMin</t>
  </si>
  <si>
    <t>MotorVehicleMax</t>
  </si>
  <si>
    <t>PageRanges</t>
  </si>
  <si>
    <t>PageSha256</t>
  </si>
  <si>
    <t>Industries</t>
  </si>
  <si>
    <t>2022-23</t>
  </si>
  <si>
    <t>Air conditioning, refrigeration and heating services</t>
  </si>
  <si>
    <t>total_expenses_to_turnover</t>
  </si>
  <si>
    <t>low</t>
  </si>
  <si>
    <t>$50,000 - $150,000</t>
  </si>
  <si>
    <t>Y</t>
  </si>
  <si>
    <t>2026-08-13</t>
  </si>
  <si>
    <t>ecd9ad5169fcdc4ddd5fdf79ceabeee460e950328fa87c8eaa224260e07548c6</t>
  </si>
  <si>
    <t>medium</t>
  </si>
  <si>
    <t>$150,001 - $600,000</t>
  </si>
  <si>
    <t>N</t>
  </si>
  <si>
    <t>Alarm systems installation - fire and security</t>
  </si>
  <si>
    <t>high</t>
  </si>
  <si>
    <t>More than $600,000</t>
  </si>
  <si>
    <t>Architectural services</t>
  </si>
  <si>
    <t>Automotive electrical services</t>
  </si>
  <si>
    <t>Bakeries and hot bread shops</t>
  </si>
  <si>
    <t>Barber and men's hairdressing</t>
  </si>
  <si>
    <t>$105,000 - $195,000</t>
  </si>
  <si>
    <t>Beauty services</t>
  </si>
  <si>
    <t>$195,001 - $400,000</t>
  </si>
  <si>
    <t>Blocklaying services</t>
  </si>
  <si>
    <t>More than $400,000</t>
  </si>
  <si>
    <t>Book retailing</t>
  </si>
  <si>
    <t>cost_of_sales_to_turnover</t>
  </si>
  <si>
    <t>$50,000 - $250,000</t>
  </si>
  <si>
    <t>Bottle shops and liquor retailing</t>
  </si>
  <si>
    <t>$250,001 - $750,000</t>
  </si>
  <si>
    <t>Bricklaying services</t>
  </si>
  <si>
    <t>More than $750,000</t>
  </si>
  <si>
    <t>Cabinet makers</t>
  </si>
  <si>
    <t>$65,000 - $400,000</t>
  </si>
  <si>
    <t>Cake shops and patisseries</t>
  </si>
  <si>
    <t>$400,001 - $750,000</t>
  </si>
  <si>
    <t>Carpentry services</t>
  </si>
  <si>
    <t>Carpet laying services</t>
  </si>
  <si>
    <t>$65,000 - $150,000</t>
  </si>
  <si>
    <t>Catering services</t>
  </si>
  <si>
    <t>More than $150,000</t>
  </si>
  <si>
    <t>Cement rendering</t>
  </si>
  <si>
    <t>$65,000 - $200,000</t>
  </si>
  <si>
    <t>Chicken shops</t>
  </si>
  <si>
    <t>$200,001 - $400,000</t>
  </si>
  <si>
    <t>Child care services</t>
  </si>
  <si>
    <t>Chiropractic and osteopathic services</t>
  </si>
  <si>
    <t>$75,000 - $155,000</t>
  </si>
  <si>
    <t>Cleaning services - building and other industrial</t>
  </si>
  <si>
    <t>$155,001 - $500,000</t>
  </si>
  <si>
    <t>Cleaning services - carpet, rug and furniture upholstery</t>
  </si>
  <si>
    <t>More than $500,000</t>
  </si>
  <si>
    <t>Clothing retailing</t>
  </si>
  <si>
    <t>$65,000 - $250,000</t>
  </si>
  <si>
    <t>Coffee shops</t>
  </si>
  <si>
    <t>Computer retailing</t>
  </si>
  <si>
    <t>Concreting services</t>
  </si>
  <si>
    <t>$65,000 - $500,000</t>
  </si>
  <si>
    <t>Confectionery retailing</t>
  </si>
  <si>
    <t>$500,001 - $2,000,000</t>
  </si>
  <si>
    <t>Courier services</t>
  </si>
  <si>
    <t>More than $2,000,000</t>
  </si>
  <si>
    <t>Craft shops</t>
  </si>
  <si>
    <t>Delicatessen</t>
  </si>
  <si>
    <t>$150,001 - $350,000</t>
  </si>
  <si>
    <t>Delivery services</t>
  </si>
  <si>
    <t>More than $350,000</t>
  </si>
  <si>
    <t>Dental specialists</t>
  </si>
  <si>
    <t>$100,000 - $300,000</t>
  </si>
  <si>
    <t>Dental surgeons - general</t>
  </si>
  <si>
    <t>$300,001 - $900,000</t>
  </si>
  <si>
    <t>Discount and variety stores</t>
  </si>
  <si>
    <t>More than $900,000</t>
  </si>
  <si>
    <t>Domestic appliance repair and maintenance</t>
  </si>
  <si>
    <t>$65,000 - $300,000</t>
  </si>
  <si>
    <t>Driving schools and instructors</t>
  </si>
  <si>
    <t>$300,001 - $600,000</t>
  </si>
  <si>
    <t>Electrical and electronic product retailing</t>
  </si>
  <si>
    <t>Electrical services</t>
  </si>
  <si>
    <t>$50,000 - $110,000</t>
  </si>
  <si>
    <t>Entertainment media retailing</t>
  </si>
  <si>
    <t>$110,001 - $400,000</t>
  </si>
  <si>
    <t>Fence construction</t>
  </si>
  <si>
    <t>Fish and chips shops</t>
  </si>
  <si>
    <t>$50,000 - $100,000</t>
  </si>
  <si>
    <t>Fish and seafood retailing - fresh</t>
  </si>
  <si>
    <t>$100,001 - $250,000</t>
  </si>
  <si>
    <t>Floor covering retailing</t>
  </si>
  <si>
    <t>More than $250,000</t>
  </si>
  <si>
    <t>Florists</t>
  </si>
  <si>
    <t>$50,000 - $200,000</t>
  </si>
  <si>
    <t>Footwear retailing</t>
  </si>
  <si>
    <t>$200,001 - $600,000</t>
  </si>
  <si>
    <t>Fruit and vegetable retailing</t>
  </si>
  <si>
    <t>Fuel retailing</t>
  </si>
  <si>
    <t>Furniture removalists</t>
  </si>
  <si>
    <t>$150,001 - $400,000</t>
  </si>
  <si>
    <t>Furniture retailing</t>
  </si>
  <si>
    <t>Garden supplies retailing</t>
  </si>
  <si>
    <t>$60,000 - $250,000</t>
  </si>
  <si>
    <t>Gift stores</t>
  </si>
  <si>
    <t>$250,001 - $575,000</t>
  </si>
  <si>
    <t>Glazing services</t>
  </si>
  <si>
    <t>More than $575,000</t>
  </si>
  <si>
    <t>Grocery retailing and convenience stores</t>
  </si>
  <si>
    <t>Hairdressers</t>
  </si>
  <si>
    <t>Hardware and building supplies retailing</t>
  </si>
  <si>
    <t>Health and fitness centres</t>
  </si>
  <si>
    <t>Health food retailing</t>
  </si>
  <si>
    <t>Homewares retailing</t>
  </si>
  <si>
    <t>Ice cream retailing</t>
  </si>
  <si>
    <t>$50,000 - $115,000</t>
  </si>
  <si>
    <t>Kebab shops</t>
  </si>
  <si>
    <t>$115,001 - $250,000</t>
  </si>
  <si>
    <t>Landscape construction</t>
  </si>
  <si>
    <t>Laundry and dry-cleaning services</t>
  </si>
  <si>
    <t>Lawn mower retailing</t>
  </si>
  <si>
    <t>$150,001 - $300,000</t>
  </si>
  <si>
    <t>Lawn mowing and garden services</t>
  </si>
  <si>
    <t>More than $300,000</t>
  </si>
  <si>
    <t>Machinery and equipment repairs and maintenance</t>
  </si>
  <si>
    <t>Manchester and other textile goods retailing</t>
  </si>
  <si>
    <t>$250,001 - $500,000</t>
  </si>
  <si>
    <t>Meat and poultry retailing - fresh</t>
  </si>
  <si>
    <t>Motor vehicle parts and batteries retailing</t>
  </si>
  <si>
    <t>Motor vehicle retail - new and used car</t>
  </si>
  <si>
    <t>$250,001 - $600,000</t>
  </si>
  <si>
    <t>Musical instruments retail</t>
  </si>
  <si>
    <t>Newsagents</t>
  </si>
  <si>
    <t>Painting services</t>
  </si>
  <si>
    <t>Panel beating and smash repairs</t>
  </si>
  <si>
    <t>Pest control services</t>
  </si>
  <si>
    <t>Pets and pet supply retailing</t>
  </si>
  <si>
    <t>$200,001 - $500,000</t>
  </si>
  <si>
    <t>Pharmacy</t>
  </si>
  <si>
    <t>Physiotherapy services</t>
  </si>
  <si>
    <t>Picture framing retailing</t>
  </si>
  <si>
    <t>Pizza shops - takeaway</t>
  </si>
  <si>
    <t>Plastering and ceiling services</t>
  </si>
  <si>
    <t>$100,001 - $300,000</t>
  </si>
  <si>
    <t>Plumbing services</t>
  </si>
  <si>
    <t>Printing</t>
  </si>
  <si>
    <t>Printing support services</t>
  </si>
  <si>
    <t>Pubs, taverns and bars</t>
  </si>
  <si>
    <t>Restaurants</t>
  </si>
  <si>
    <t>Road freight transport services</t>
  </si>
  <si>
    <t>Roofing services, including roof tiling, guttering and metal roofing</t>
  </si>
  <si>
    <t>$50,000 - $90,000</t>
  </si>
  <si>
    <t>Sports and physical recreation instruction</t>
  </si>
  <si>
    <t>$90,001 - $210,000</t>
  </si>
  <si>
    <t>Sports, camping and fishing retailing</t>
  </si>
  <si>
    <t>More than $210,000</t>
  </si>
  <si>
    <t>Stationery goods retailing</t>
  </si>
  <si>
    <t>Takeaway food services</t>
  </si>
  <si>
    <t>Tiling services - floor and wall</t>
  </si>
  <si>
    <t>Timber floor sanding</t>
  </si>
  <si>
    <t>$50,000 - $435,000</t>
  </si>
  <si>
    <t>Tobacco retailing</t>
  </si>
  <si>
    <t>$435,001 - $815,000</t>
  </si>
  <si>
    <t>Towing services</t>
  </si>
  <si>
    <t>More than $815,000</t>
  </si>
  <si>
    <t>Toy and game retailing</t>
  </si>
  <si>
    <t>Tutoring and coaching</t>
  </si>
  <si>
    <t>Tyre retailing</t>
  </si>
  <si>
    <t>Veterinary services</t>
  </si>
  <si>
    <t>Watch and jewellery retailing</t>
  </si>
  <si>
    <t>$50,000 - $75,000</t>
  </si>
  <si>
    <t>$75,001 - $165,000</t>
  </si>
  <si>
    <t>More than $165,000</t>
  </si>
  <si>
    <t>$65,000 - $750,000</t>
  </si>
  <si>
    <t>$750,001 - $2,000,000</t>
  </si>
  <si>
    <t>$65,000 - $350,000</t>
  </si>
  <si>
    <t>$250,001 - $400,000</t>
  </si>
  <si>
    <t>$500,001 - $1,000,000</t>
  </si>
  <si>
    <t>More than $1,000,000</t>
  </si>
  <si>
    <t>$65,000 - $800,000</t>
  </si>
  <si>
    <t>$800,001 - $2,000,000</t>
  </si>
  <si>
    <t>$65,000 - $180,000</t>
  </si>
  <si>
    <t>$180,001 - $600,000</t>
  </si>
  <si>
    <t>$65,000 - $450,000</t>
  </si>
  <si>
    <t>$450,001 - $1,100,000</t>
  </si>
  <si>
    <t>More than $1,100,000</t>
  </si>
  <si>
    <t>$75,000 - $500,000</t>
  </si>
  <si>
    <t>$50,000 - $125,000</t>
  </si>
  <si>
    <t>$125,001 - $525,000</t>
  </si>
  <si>
    <t>More than $525,000</t>
  </si>
  <si>
    <t>$300,001 - $950,000</t>
  </si>
  <si>
    <t>More than $950,000</t>
  </si>
  <si>
    <t>$400,001 - $1,000,000</t>
  </si>
  <si>
    <t>$65,000 - $175,000</t>
  </si>
  <si>
    <t>$175,001 - $600,000</t>
  </si>
  <si>
    <t>$400,001 - $600,000</t>
  </si>
  <si>
    <t>$250,001 - $900,000</t>
  </si>
  <si>
    <t>$65,000 - $275,000</t>
  </si>
  <si>
    <t>$275,001 - $475,000</t>
  </si>
  <si>
    <t>More than $475,000</t>
  </si>
  <si>
    <t>$50,000 - $170,000</t>
  </si>
  <si>
    <t>$170,001 - $300,000</t>
  </si>
  <si>
    <t>$65,000 - $550,000</t>
  </si>
  <si>
    <t>$550,001 - $1,450,000</t>
  </si>
  <si>
    <t>More than $1,450,000</t>
  </si>
  <si>
    <t>$90,001 - $175,000</t>
  </si>
  <si>
    <t>More than $175,000</t>
  </si>
  <si>
    <t>$150,001 - $500,000</t>
  </si>
  <si>
    <t>$450,001 - $850,000</t>
  </si>
  <si>
    <t>More than $850,000</t>
  </si>
  <si>
    <t>$400,001 - $1,250,000</t>
  </si>
  <si>
    <t>More than $1,250,000</t>
  </si>
  <si>
    <t>$500,001 - $1,500,000</t>
  </si>
  <si>
    <t>More than $1,500,000</t>
  </si>
  <si>
    <t>$65,000 - $285,000</t>
  </si>
  <si>
    <t>$285,001 - $765,000</t>
  </si>
  <si>
    <t>More than $765,000</t>
  </si>
  <si>
    <t>$400,000 - $1,500,000</t>
  </si>
  <si>
    <t>$1,500,001 - $3,500,000</t>
  </si>
  <si>
    <t>More than $3,500,000</t>
  </si>
  <si>
    <t>$75,000 - $240,000</t>
  </si>
  <si>
    <t>$240,001 - $600,000</t>
  </si>
  <si>
    <t>$55,000 - $140,000</t>
  </si>
  <si>
    <t>$140,001 - $260,000</t>
  </si>
  <si>
    <t>More than $260,000</t>
  </si>
  <si>
    <t>$50,000 - $300,000</t>
  </si>
  <si>
    <t>$300,001 - $1,000,000</t>
  </si>
  <si>
    <t>$100,000 - $750,000</t>
  </si>
  <si>
    <t>$750,001 - $2,500,000</t>
  </si>
  <si>
    <t>More than $2,500,000</t>
  </si>
  <si>
    <t>$50,000 - $325,000</t>
  </si>
  <si>
    <t>$325,001 - $900,000</t>
  </si>
  <si>
    <t>$100,001 - $200,000</t>
  </si>
  <si>
    <t>More than $200,000</t>
  </si>
  <si>
    <t>$100,000 - $700,000</t>
  </si>
  <si>
    <t>$700,001 - $1,500,000</t>
  </si>
  <si>
    <t>$150,001 - $550,000</t>
  </si>
  <si>
    <t>More than $550,000</t>
  </si>
  <si>
    <t>$300,001 - $800,000</t>
  </si>
  <si>
    <t>More than $800,000</t>
  </si>
  <si>
    <t>$65,000 - $1,000,000</t>
  </si>
  <si>
    <t>$1,000,001 - $2,500,000</t>
  </si>
  <si>
    <t>2023-24</t>
  </si>
  <si>
    <t>84925348cc6abfdbfb2cd14c62456e02d44057b7c7b444a6839e6179f71440f5</t>
  </si>
  <si>
    <t>cost_of_sales_to_turnover rent_to_turnover motor_vehicle_to_turnover</t>
  </si>
  <si>
    <t>d6fb3f5120c0e865d8fd95781144ea0a735f20f510bb34acdfbcb5ec1bdda377</t>
  </si>
  <si>
    <t>cost_of_sales_to_turnover labour_to_turnover rent_to_turnover motor_vehicle_to_turnover</t>
  </si>
  <si>
    <t>7a719a1436e34164717a5bb7d6efc3c52d750c79cf647d95faff310df34a9557</t>
  </si>
  <si>
    <t>$135,000 - $220,000</t>
  </si>
  <si>
    <t>rent_to_turnover motor_vehicle_to_turnover</t>
  </si>
  <si>
    <t>5313456eaabef9b3401684a651c5d6f64f8b42fc600419e4700e7f6cafc1b28a</t>
  </si>
  <si>
    <t>$220,001 - $400,000</t>
  </si>
  <si>
    <t>labour_to_turnover rent_to_turnover motor_vehicle_to_turnover</t>
  </si>
  <si>
    <t>6ed99642ca0f4414a2a980c6790a9315561ef7908ef583562a1ec2f74ecabb23</t>
  </si>
  <si>
    <t>d1d15a43ae5680aaae168b24f40cb72866e38f56d284e78196827c337e64402a</t>
  </si>
  <si>
    <t>29940c536c68bc9b90d6b83654f733070b80c18d12bdcbbbfeab927d5cc0ac68</t>
  </si>
  <si>
    <t>83e91bdfd75861fd6fe41e1ba693437d6f05f979d04630a824b97560cfd9961f</t>
  </si>
  <si>
    <t>motor_vehicle_to_turnover</t>
  </si>
  <si>
    <t>7f6401c3b7abba89d0f40cd076101fe41620c59b064518781cfc4e09871d4f63</t>
  </si>
  <si>
    <t>b884e145e59e9201519a12e67f806aad974c5c6c4227be384729d21e49c07273</t>
  </si>
  <si>
    <t>9aea9162731d9991b3d09731db11c6e776c10e4bf7d8a81fdff075bc2a60a52f</t>
  </si>
  <si>
    <t>labour_to_turnover motor_vehicle_to_turnover</t>
  </si>
  <si>
    <t>dc9c93821ed98bab8a7acddf8c0e3a1377a530dca6ddee3af0b699c42fe1cfa4</t>
  </si>
  <si>
    <t>ad559bb8572b21268de5f375d921d4df0ce71fb3119984fceed7218cf1ac6740</t>
  </si>
  <si>
    <t>5b4fa5748078ef9ceacff2105e848fca89e242e21514a690977db2bcbe58dfa5</t>
  </si>
  <si>
    <t>9e09ea2390a94e074b1556def455364c83add8749741ebf0afc28273c92037a1</t>
  </si>
  <si>
    <t>41f83d7fce073ad27a3021519def73035f5c3f8b700ab8fd86974d0a2429b752</t>
  </si>
  <si>
    <t>2669653955200501bc2b4115232b1220cf9bc539247894ef55f4855c9bec440b</t>
  </si>
  <si>
    <t>8b9ee5b1da1acd5dad849fbf55b42920c56a0604695191cefb1f5179698ecb6d</t>
  </si>
  <si>
    <t>cc4d72482c854026523de172a4d49ce74a6277866348df8161a1e94025606fb8</t>
  </si>
  <si>
    <t>ffc70cc87f6b6db7234d1f71fd768ecdbaa62633e76f39fb4ed9d7895ac03582</t>
  </si>
  <si>
    <t>f52681ba47e0b91906c1d406f50f096de7326a5d337596eff7c30e52f9156e3c</t>
  </si>
  <si>
    <t>68d59cc9cddc06ed58191f4f50e12e48e0f5765d4dd3da78a5fa58916a5973d6</t>
  </si>
  <si>
    <t>55b7f52bb02a36e74ccb97496446ba1c5470be6abb782a3affc67b47574c67c7</t>
  </si>
  <si>
    <t>f78d505d9d042f9dfcaa44a6aabbf652a0782bc499df17774d39888def74601b</t>
  </si>
  <si>
    <t>4cd119f86d109a867bf474db7fe8085056a08fe74094f8e4c62d57745059cf24</t>
  </si>
  <si>
    <t>8d0fb1873156ba6ff436845887e67c80842cdcbba27073a9434b513de09d6eb1</t>
  </si>
  <si>
    <t>c804b02523907153bdfd44190f7f7fa3fc8c209b83cc6e2494b904f70b9464f1</t>
  </si>
  <si>
    <t>da44fc691b08cc8ee7a4fca2baea061a06f1712ad8277f1735653fcc65ca6ec9</t>
  </si>
  <si>
    <t>00f7155ca38e7cc6a4c67d8596820054a783273acb61ca5547309935e0212ca9</t>
  </si>
  <si>
    <t>53dac26ca21fcda46591d14d1707b20ac986b111db60b8484f72c8f6fdc34283</t>
  </si>
  <si>
    <t>1da89288ff79723fdb48e84ab837e488ff1f2c4a156cef657e236c6fd1c8e7d8</t>
  </si>
  <si>
    <t>75ce0267158abb158e78a97c6eb52a154003da820406d0827277e35d9b6db141</t>
  </si>
  <si>
    <t>84329267f96e25c6e8caaf91704353d914a00f17aa9b68e9b524e6cebb924b2a</t>
  </si>
  <si>
    <t>be498a47beb7ba82a3ae356e2b11e22725cbc6738f9f15ebfe0fc576956b35b6</t>
  </si>
  <si>
    <t>3510f491db7e7f6ef8314104a6744a1c8f5261901e0770176c33dcbc94517845</t>
  </si>
  <si>
    <t>15b186ce2b96a2504f48bdbb69a39ee34a4c5f818e1e5087779d57a19e0ab23d</t>
  </si>
  <si>
    <t>9f2fcaf51251354da5d1229708f0605bc364653030d7666f12e2e2feddf3f48e</t>
  </si>
  <si>
    <t>b84c71fbe931f70ce852a29fd291b47205d26525ae48790f04f9276c79f28f61</t>
  </si>
  <si>
    <t>cost_of_sales_to_turnover labour_to_turnover motor_vehicle_to_turnover</t>
  </si>
  <si>
    <t>7293db71d3eafc752c6d460e0d64d7dcf6bdf4bf61bda4a19ebe4cad603727f2</t>
  </si>
  <si>
    <t>d1964f80c66379dded8c27808c9c6f1f4d50c4a57e0980807b25dbfd45702313</t>
  </si>
  <si>
    <t>2ada353f6212f3c627fb4343a8dfce7f47fad98cc7427214fc4144493b6f2d75</t>
  </si>
  <si>
    <t>c6145ad6f00712a5ee009b81be9281bd7671279c488a68d644dbbddf63674ea9</t>
  </si>
  <si>
    <t>882b8ca16caf8a0454c2c7ccd59e93c9a910c4ddfd56cff24da51ccab60a88e0</t>
  </si>
  <si>
    <t>c12be06e63fcfc61a8375a30a8dc5bba6b748f87ae04d022def0d02431d455d5</t>
  </si>
  <si>
    <t>759d839915a7435366404914ec92731bb097046c1e35cc510fe2c0f82945ee4b</t>
  </si>
  <si>
    <t>f54cb844f220cc786587b2d36c1de1d77bb64a26d73033abb9e637d93ba24e62</t>
  </si>
  <si>
    <t>aeea370676377d67631a50ba9e81cdf90b31cd8cc9d098f0b0f7eb83204110c5</t>
  </si>
  <si>
    <t>eadb798fb991e064387bf1bad68632b8b5d2caaaf2554bca4fe84804a6093211</t>
  </si>
  <si>
    <t>e0ef475d24620a6d632150351c0266739f93ddac7774113c49d3e25183590f32</t>
  </si>
  <si>
    <t>7925078ce24864ffbff8cbaa118627bb113f2d40eba941664f38353bbe34f241</t>
  </si>
  <si>
    <t>e2e1244a773d8922f6fb843164d6e0c5909cfc561aa35e599a3276f8d0141ae8</t>
  </si>
  <si>
    <t>ab901a93d18e50c843643efa8758d4cf310fcc7153a215eb1232ec60683f177e</t>
  </si>
  <si>
    <t>06af80f4ff2538f809adbad1dca378c33478404f7a79a12356d281be36b540c0</t>
  </si>
  <si>
    <t>15779fecf9fac873aa8f86d321a5850fdcb17c3da5c021ee1f33eca14e2f1865</t>
  </si>
  <si>
    <t>adcdba8d9a097c92d04a1be6f34833667dd736cf6a2f724e1d48956ebe712d5e</t>
  </si>
  <si>
    <t>6ed3c26a47460aaa5210bf8882e405f19a948cecd7b85adcb4c15305c0cb7d64</t>
  </si>
  <si>
    <t>1ae312174d151ec3c777c3659e2348fe87761dd3960a354bc0200fac4a64daa3</t>
  </si>
  <si>
    <t>d24fe633805f919ac8a72723db75ba0d0cf11757a2c0b79fe70028488678bc6f</t>
  </si>
  <si>
    <t>4c4c9e49c3ddc5817a8768d2161114be8dea99364fcec0bff850fe093b3a8d3b</t>
  </si>
  <si>
    <t>a6e1b2f1e738963fd195ebf4eeaa6aada095a50672b4f30e764e6e09129791c3</t>
  </si>
  <si>
    <t>7858b6be86e1d8d5d087eb46687124ae3c942ac5fd116788fa8bfc910863707d</t>
  </si>
  <si>
    <t>8da78efaac80db59b511893eadb79b4319de752f964de39ae3169b45f9a55983</t>
  </si>
  <si>
    <t>9d9575421934e13bf00551b7957b56c2eafafa508eec576585d9fefceaac3aa7</t>
  </si>
  <si>
    <t>b19cb3378a33fbe9435ea5e7c2592f8fce031574d53ce43028ab08fbd37fefb3</t>
  </si>
  <si>
    <t>dcbda4d2c6e0baafbf326551403f9e2384f4a2db8dd23ffc64e2cd11810488ab</t>
  </si>
  <si>
    <t>7a3ff1c3c2a6e4c41b31066cecc89bd2e14a2beeb2c0d6325811e5e247b7642c</t>
  </si>
  <si>
    <t>e5e70efdc72cf52f728982b41c617de1aa3ac22c0f233210d7b032beb8c55a3f</t>
  </si>
  <si>
    <t>ee4516c71c899f4319d42056bd7ebdce93c50e8754a94c89aef7c7fbef8a5906</t>
  </si>
  <si>
    <t>52fddc3db577c810ee9b325e1371f0aac9d2ad34d6657dcb40ad5d8813c74b63</t>
  </si>
  <si>
    <t>b2aeecf9d1d3af30eff0bcafd2a658d42f84f847337d9ab63a687079e01247ba</t>
  </si>
  <si>
    <t>ff6910517c64b93034876d2ee64950e6c53431ac1b400c8a3560267b5a92b5dd</t>
  </si>
  <si>
    <t>9e5f4a3405e70097c8ec7dd992283229eede0498d7e4aa6a28d5f9c25d7dde62</t>
  </si>
  <si>
    <t>150abc83cdfa189fefcf94bea9d9d2ae7d25f05254a9b27b3a9b2cc0dbc1b925</t>
  </si>
  <si>
    <t>243ccf23553f31abb5a85e8645309f36ced00478ab516482bdaaa559ef76c4fb</t>
  </si>
  <si>
    <t>8bf7e2db411fcf848e185c71f864ac65af70a549a43f850a9a578cae3a764262</t>
  </si>
  <si>
    <t>74e55f6373a33f9eb60a4a6d3974d80ee202c140c6400186ce5d1649f5484ed1</t>
  </si>
  <si>
    <t>43d5b970b7503c9ca96786fe9583dcdbc436a13c92e2d4354d1264b927d5d788</t>
  </si>
  <si>
    <t>d177040473aa3c80b4e128f220856c50cc9de99d9a42a67fe6c7dd03b3ccc345</t>
  </si>
  <si>
    <t>5305bbc94a9fd4e34d0fe38db0100b2b630df94aa1b8c3a3a078174651ba6030</t>
  </si>
  <si>
    <t>9665f899b877de72332244f7933839e02796abbb6821b3d8e1ad6d010d4aef73</t>
  </si>
  <si>
    <t>55ed6ce6a02c55e4790638c8a423ef2c7564d3dbc0719d911ff1b345081dcdd6</t>
  </si>
  <si>
    <t>39b72db9c16f98b20def69446cf2db5e11b37af9a7f011be176579c747d7ffcd</t>
  </si>
  <si>
    <t>0da114f12aabce001cf0c4f055b45fcedd0a3d5d14f7a1dfd116c690aee3e2bf</t>
  </si>
  <si>
    <t>2c199549b6f8b36fba2821d16b0d1ddc3774fa922bbd4981c8f5d659dfcc7ad6</t>
  </si>
  <si>
    <t>ab97fdc84c879c16d1ae799abf7a5ce91e6f0507c94a650a543a79ec02ad743d</t>
  </si>
  <si>
    <t>025f9042e4b48976f20538dd3dbe8c85c11f1a490ab81243d7e12904218ad90d</t>
  </si>
  <si>
    <t>5ac308bc362d3e0decd6c4a020de174f251dfd42995bbee1894046a2f1f389f8</t>
  </si>
  <si>
    <t>277161e21229e3abf7f8f0b25746957e5450a25b9f2ffc2d3f87ceb798c701a0</t>
  </si>
  <si>
    <t>6b3ab160c29327b68595bd9358cce522a621e8ef3673ad098d7f4629b2de2a7e</t>
  </si>
  <si>
    <t>28f18a013d2006458911dbb8eec249a86bdab456455c074d07a9307564529baa</t>
  </si>
  <si>
    <t>01b92ebf219f4fa033628b5e306ed5e9f445c6a869ae507aeaa7032a2a00cb92</t>
  </si>
  <si>
    <t>cost_of_sales_to_turnover motor_vehicle_to_turnover</t>
  </si>
  <si>
    <t>c261256c79f66895b71eb9f9176b6a63c01c639e70059e806c3dca73c18c498a</t>
  </si>
  <si>
    <t>61f8fafdd74da5d1bf86a07d4e7e8deea5d278a5abb7ec2d74976e5f192db782</t>
  </si>
  <si>
    <t>b177f3d645356cd33522f35774e9e38b5330c8d6f79130b394495d39ba5273bd</t>
  </si>
  <si>
    <t>fe2746729b7af0d683cc68f55d71193fa65d968e62bd22937705ea5db3e58131</t>
  </si>
  <si>
    <t>0220ab956eab909a25ace045a294dfd9372714612d42b48889a6c3550c341a14</t>
  </si>
  <si>
    <t>eae154cd25cb8eb4f091e3a7836d664c61800595ac93ba81d49133630fb8ac38</t>
  </si>
  <si>
    <t>03f5d057e835768a3e1582a8509eb4c16bcf3a002339dcdeeb27d2a6ef806fbc</t>
  </si>
  <si>
    <t>90ec95e1d48c6813bd7842f5040ba737d39ced0e7dc195064393668121156c78</t>
  </si>
  <si>
    <t>b70e502e9b330b343d2c13f0ac2d7c38eff778d12328bd7e38a2db045b588840</t>
  </si>
  <si>
    <t>Inputs</t>
  </si>
  <si>
    <t>Benchmark year</t>
  </si>
  <si>
    <t>Expenses shown as negatives? (Y/N)</t>
  </si>
  <si>
    <t>Activity statement W1 (blank if not supplied)</t>
  </si>
  <si>
    <t>Expense sign factor</t>
  </si>
  <si>
    <t>Bucket totals (SUMIFS over tblPnl)</t>
  </si>
  <si>
    <t>What the ATO does with it</t>
  </si>
  <si>
    <t>Sales of goods and services. The ATO's turnover label.</t>
  </si>
  <si>
    <t>Business income that is not sales, for example interest or grants.</t>
  </si>
  <si>
    <t>Cost of sales, excluding any salary and wages inside it.</t>
  </si>
  <si>
    <t>Salary and wages included in cost of sales.</t>
  </si>
  <si>
    <t>Salary and wages outside cost of sales.</t>
  </si>
  <si>
    <t>Contractor, subcontractor and commission expenses.</t>
  </si>
  <si>
    <t>Payments to associated persons.</t>
  </si>
  <si>
    <t>Rent expenses.</t>
  </si>
  <si>
    <t>Motor vehicle expenses.</t>
  </si>
  <si>
    <t>Every other expense, including superannuation and depreciation.</t>
  </si>
  <si>
    <t>Not part of the ATO calculation, for example income tax expense.</t>
  </si>
  <si>
    <t>Figures</t>
  </si>
  <si>
    <t>Sales of goods and services</t>
  </si>
  <si>
    <t>Other business income</t>
  </si>
  <si>
    <t>Total business income</t>
  </si>
  <si>
    <t>Turnover</t>
  </si>
  <si>
    <t>Turnover basis</t>
  </si>
  <si>
    <t>Total expenses reported</t>
  </si>
  <si>
    <t>Payments to associated persons</t>
  </si>
  <si>
    <t>Total expenses for ratio</t>
  </si>
  <si>
    <t>Cost of sales for ratio (excludes wages)</t>
  </si>
  <si>
    <t>Salary and wages label (wages + cost of sales wages + associates)</t>
  </si>
  <si>
    <t>Labour base (W1 when it exceeds the label)</t>
  </si>
  <si>
    <t>Labour (base less associates plus contractors and commission)</t>
  </si>
  <si>
    <t>Band lookup (1E9 = no match)</t>
  </si>
  <si>
    <t>Band row in tblBands (0 = none)</t>
  </si>
  <si>
    <t>Turnover band</t>
  </si>
  <si>
    <t>Industry row in tblBands (0 = not published for the year)</t>
  </si>
  <si>
    <t>Published key ratio</t>
  </si>
  <si>
    <t>Key ratio used</t>
  </si>
  <si>
    <t>Ratio</t>
  </si>
  <si>
    <t>Actual</t>
  </si>
  <si>
    <t>Benchmark min</t>
  </si>
  <si>
    <t>Benchmark max</t>
  </si>
  <si>
    <t>Status</t>
  </si>
  <si>
    <t>Range source</t>
  </si>
  <si>
    <t>Cost of sales to turnover</t>
  </si>
  <si>
    <t>Total expenses to turnover</t>
  </si>
  <si>
    <t>labour_to_turnover</t>
  </si>
  <si>
    <t>Labour to turnover</t>
  </si>
  <si>
    <t>rent_to_turnover</t>
  </si>
  <si>
    <t>Rent to turnover</t>
  </si>
  <si>
    <t>Motor vehicle expenses to turnover</t>
  </si>
  <si>
    <t>Benchmark year and industry</t>
  </si>
  <si>
    <t>Check</t>
  </si>
  <si>
    <t>Result</t>
  </si>
  <si>
    <t>Count or value</t>
  </si>
  <si>
    <t>Example account</t>
  </si>
  <si>
    <t>Every P&amp;L account has a recognised bucket</t>
  </si>
  <si>
    <t>No mapping is still suggested</t>
  </si>
  <si>
    <t>No formula or non-numeric cell in the P&amp;L</t>
  </si>
  <si>
    <t>No P&amp;L account name appears twice</t>
  </si>
  <si>
    <t>No mapping account appears twice</t>
  </si>
  <si>
    <t>W1 is not negative</t>
  </si>
  <si>
    <t>Turnover is positive</t>
  </si>
  <si>
    <t>Industry is published for the benchmark year</t>
  </si>
  <si>
    <t>Turnover falls in a published band</t>
  </si>
  <si>
    <t>Key ratio is within its range</t>
  </si>
  <si>
    <t>No fabricated example account from the shipped bakery sample remains in the P&amp;L</t>
  </si>
  <si>
    <t>Notes (the engine prints these as warnings; they do not change the status)</t>
  </si>
  <si>
    <t>Item</t>
  </si>
  <si>
    <t>Value</t>
  </si>
  <si>
    <t>Workbook engine version</t>
  </si>
  <si>
    <t>0.2.0</t>
  </si>
  <si>
    <t>Desktop Excel build used to calculate cached values</t>
  </si>
  <si>
    <t>2022-23 publisher</t>
  </si>
  <si>
    <t>Australian Taxation Office</t>
  </si>
  <si>
    <t>2022-23 dataset</t>
  </si>
  <si>
    <t>Small Business Benchmarks</t>
  </si>
  <si>
    <t>2022-23 resource</t>
  </si>
  <si>
    <t>https://data.gov.au/data/dataset/591b444b-be7f-4121-8252-119a9fe07c19/resource/dfaf2207-86f4-4b5a-8847-6a0d2f8de8cd/download/small-business-benchmarks-2022-23-data.xlsx</t>
  </si>
  <si>
    <t>2022-23 retrieved</t>
  </si>
  <si>
    <t>2022-23 sha256</t>
  </si>
  <si>
    <t>2022-23 licence</t>
  </si>
  <si>
    <t>Creative Commons Attribution 2.5 Australia https://creativecommons.org/licenses/by/2.5/au/</t>
  </si>
  <si>
    <t>2023-24 publisher</t>
  </si>
  <si>
    <t>2023-24 dataset</t>
  </si>
  <si>
    <t>2023-24 resource</t>
  </si>
  <si>
    <t>https://data.gov.au/data/dataset/591b444b-be7f-4121-8252-119a9fe07c19/resource/db3ab8b7-e029-48de-8e7a-c61532e25496/download/small-business-benchmarks-2023-24-data.xlsx</t>
  </si>
  <si>
    <t>2023-24 retrieved</t>
  </si>
  <si>
    <t>2023-24 sha256</t>
  </si>
  <si>
    <t>2023-24 licence</t>
  </si>
  <si>
    <t>2023-24 industry pages</t>
  </si>
  <si>
    <t>Australian Taxation Office, Small business benchmarks, industry pages (in detail)</t>
  </si>
  <si>
    <t>2023-24 industry page index</t>
  </si>
  <si>
    <t>https://www.ato.gov.au/businesses-and-organisations/income-deductions-and-concessions/small-business-benchmarks/benchmarks-a-z</t>
  </si>
  <si>
    <t>2023-24 industry pages retrieved</t>
  </si>
  <si>
    <t>2026-09-29</t>
  </si>
  <si>
    <t>2023-24 industry pages licence</t>
  </si>
  <si>
    <t>ATO copyright notice: free to copy, adapt, modify, transmit and distribute, but not in any way that suggests the ATO or the Commonwealth endorses the user or its products https://www.ato.gov.au/about-ato/using-our-website/copyright-notice</t>
  </si>
  <si>
    <t>2023-24 industry pages caution</t>
  </si>
  <si>
    <t>Not all expenses are reported by every business. The ATO says to use these ranges only as a guide where they apply to the business.</t>
  </si>
  <si>
    <t>Excel 16.0 build 20527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</si>
</sst>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_(* \(#,##0.00\);_(* &quot;-&quot;??_);_(@_)"/>
  </numFmts>
  <fonts count="6" x14ac:knownFonts="1">
    <font>
      <sz val="11"/>
      <color theme="1"/>
      <name val="Calibri"/>
      <family val="2"/>
      <scheme val="minor"/>
    </font>
    <font>
      <b/>
      <sz val="14"/>
      <color rgb="FF5C2D91"/>
      <name val="Calibri"/>
    </font>
    <font>
      <b/>
      <sz val="11"/>
      <name val="Calibri"/>
    </font>
    <font>
      <b/>
      <sz val="14"/>
      <name val="Calibri"/>
    </font>
    <font>
      <b/>
      <sz val="11"/>
      <color rgb="FFFFFFFF"/>
      <name val="Calibri"/>
    </font>
    <font>
      <sz val="11"/>
      <color rgb="FF1F4E9E"/>
      <name val="Calibri"/>
    </font>
  </fonts>
  <fills count="5">
    <fill>
      <patternFill patternType="none"/>
    </fill>
    <fill>
      <patternFill patternType="gray125"/>
    </fill>
    <fill>
      <patternFill patternType="solid">
        <fgColor rgb="FFF3F1F6"/>
      </patternFill>
    </fill>
    <fill>
      <patternFill patternType="solid">
        <fgColor rgb="FF5C2D91"/>
      </patternFill>
    </fill>
    <fill>
      <patternFill patternType="solid">
        <fgColor rgb="FFE2E0DF"/>
      </patternFill>
    </fill>
  </fills>
  <borders count="1">
    <border>
      <left/>
      <right/>
      <top/>
      <bottom/>
      <diagonal/>
    </border>
  </borders>
  <cellStyleXfs count="1">
    <xf numFmtId="0" fontId="0" fillId="0" borderId="0"/>
  </cellStyleXfs>
  <cellXfs count="16">
    <xf numFmtId="0" fontId="0" fillId="0" borderId="0" xfId="0"/>
    <xf numFmtId="0" fontId="1" fillId="0" borderId="0" xfId="0" applyFont="1"/>
    <xf numFmtId="0" fontId="0" fillId="0" borderId="0" xfId="0" applyAlignment="1">
      <alignment vertical="top" wrapText="1"/>
    </xf>
    <xf numFmtId="0" fontId="2" fillId="0" borderId="0" xfId="0" applyFont="1"/>
    <xf numFmtId="0" fontId="3" fillId="2" borderId="0" xfId="0" applyFont="1" applyFill="1"/>
    <xf numFmtId="0" fontId="4" fillId="3" borderId="0" xfId="0" applyFont="1" applyFill="1"/>
    <xf numFmtId="49" fontId="5" fillId="4" borderId="0" xfId="0" applyNumberFormat="1" applyFont="1" applyFill="1"/>
    <xf numFmtId="164" fontId="5" fillId="4" borderId="0" xfId="0" applyNumberFormat="1" applyFont="1" applyFill="1"/>
    <xf numFmtId="0" fontId="0" fillId="2" borderId="0" xfId="0" applyFill="1"/>
    <xf numFmtId="0" fontId="5" fillId="4" borderId="0" xfId="0" applyFont="1" applyFill="1"/>
    <xf numFmtId="0" fontId="5" fillId="4" borderId="0" xfId="0" applyFont="1" applyFill="1" applyProtection="1">
      <protection locked="0"/>
    </xf>
    <xf numFmtId="164" fontId="5" fillId="4" borderId="0" xfId="0" applyNumberFormat="1" applyFont="1" applyFill="1" applyProtection="1">
      <protection locked="0"/>
    </xf>
    <xf numFmtId="164" fontId="0" fillId="2" borderId="0" xfId="0" applyNumberFormat="1" applyFill="1"/>
    <xf numFmtId="10" fontId="0" fillId="2" borderId="0" xfId="0" applyNumberFormat="1" applyFill="1"/>
    <xf numFmtId="0" fontId="2" fillId="2" borderId="0" xfId="0" applyFont="1" applyFill="1"/>
    <xf numFmtId="0" fontId="0" fillId="2" borderId="0" xfId="0" applyFill="1" applyAlignment="1">
      <alignment wrapText="1"/>
    </xf>
  </cellXfs>
  <cellStyles count="1">
    <cellStyle name="Normal" xfId="0" builtinId="0"/>
  </cellStyles>
  <dxfs count="6">
    <dxf>
      <fill>
        <patternFill patternType="solid">
          <fgColor rgb="FFD4EDDA"/>
        </patternFill>
      </fill>
    </dxf>
    <dxf>
      <fill>
        <patternFill patternType="solid">
          <fgColor rgb="FFFFF3CD"/>
        </patternFill>
      </fill>
    </dxf>
    <dxf>
      <fill>
        <patternFill patternType="solid">
          <fgColor rgb="FFF8D7DA"/>
        </patternFill>
      </fill>
    </dxf>
    <dxf>
      <fill>
        <patternFill patternType="solid">
          <fgColor rgb="FFD4EDDA"/>
        </patternFill>
      </fill>
    </dxf>
    <dxf>
      <fill>
        <patternFill patternType="solid">
          <fgColor rgb="FFFFF3CD"/>
        </patternFill>
      </fill>
    </dxf>
    <dxf>
      <fill>
        <patternFill patternType="solid">
          <fgColor rgb="FFF8D7DA"/>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nl" displayName="tblPnl" ref="A1:F28">
  <tableColumns count="6">
    <tableColumn id="1" xr3:uid="{00000000-0010-0000-0000-000001000000}" name="Account"/>
    <tableColumn id="2" xr3:uid="{00000000-0010-0000-0000-000002000000}" name="Amount"/>
    <tableColumn id="3" xr3:uid="{00000000-0010-0000-0000-000003000000}" name="Bucket">
      <calculatedColumnFormula>IFERROR(INDEX(tblMapping[Bucket],MATCH(TRUE,INDEX(tblMapping[Key]=tblPnl[[#This Row],[Key]],0),0)),"")</calculatedColumnFormula>
    </tableColumn>
    <tableColumn id="4" xr3:uid="{00000000-0010-0000-0000-000004000000}" name="Guard">
      <calculatedColumnFormula>IF(OR(_xlfn.ISFORMULA(tblPnl[[#This Row],[Account]]),_xlfn.ISFORMULA(tblPnl[[#This Row],[Amount]]),AND(tblPnl[[#This Row],[Account]]&lt;&gt;"",NOT(ISNUMBER(tblPnl[[#This Row],[Amount]])))),1,0)</calculatedColumnFormula>
    </tableColumn>
    <tableColumn id="5" xr3:uid="{00000000-0010-0000-0000-000005000000}" name="Sample">
      <calculatedColumnFormula>IF(SUMPRODUCT((LOWER(TRIM(tblPnl[[#This Row],[Account]]))={"sales - bread and rolls","sales - cakes and pastries","interest received","total income","flour and ingredients","packaging","freight inwards","bakery wages","total cost of sales","gross profit","accounting fees","advertising","bank fees","cleaning contractor","depreciation","electricity","insurance","motor vehicle expenses","rent","repairs and maintenance","shop wages","superannuation","wages - director spouse","total operating expenses","net profit before tax","income tax expense","net profit"})*(tblPnl[[#This Row],[Amount]]={520000,330000,1200,851200,240000,24000,6000,95000,365000,486200,4800,3600,1900,7800,21000,18000,7400,9500,62000,6200,175000,24750,45000,386950,99250,12000,87250}))&gt;0,1,0)</calculatedColumnFormula>
    </tableColumn>
    <tableColumn id="6" xr3:uid="{00000000-0010-0000-0000-000006000000}" name="Key">
      <calculatedColumnFormula>TRIM(LOWER(tblPnl[[#This Row],[Account]]))</calculatedColumnFormula>
    </tableColumn>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Mapping" displayName="tblMapping" ref="A1:E28">
  <tableColumns count="5">
    <tableColumn id="1" xr3:uid="{00000000-0010-0000-0100-000001000000}" name="Account"/>
    <tableColumn id="2" xr3:uid="{00000000-0010-0000-0100-000002000000}" name="Bucket"/>
    <tableColumn id="3" xr3:uid="{00000000-0010-0000-0100-000003000000}" name="Source"/>
    <tableColumn id="4" xr3:uid="{00000000-0010-0000-0100-000004000000}" name="Note"/>
    <tableColumn id="5" xr3:uid="{00000000-0010-0000-0100-000005000000}" name="Key">
      <calculatedColumnFormula>TRIM(LOWER(tblMapping[[#This Row],[Account]]))</calculatedColumnFormula>
    </tableColumn>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Bands" displayName="tblBands" ref="A1:V593">
  <tableColumns count="22">
    <tableColumn id="1" xr3:uid="{00000000-0010-0000-0200-000001000000}" name="Year"/>
    <tableColumn id="2" xr3:uid="{00000000-0010-0000-0200-000002000000}" name="Industry"/>
    <tableColumn id="3" xr3:uid="{00000000-0010-0000-0200-000003000000}" name="KeyRatio"/>
    <tableColumn id="4" xr3:uid="{00000000-0010-0000-0200-000004000000}" name="Band"/>
    <tableColumn id="5" xr3:uid="{00000000-0010-0000-0200-000005000000}" name="Label"/>
    <tableColumn id="6" xr3:uid="{00000000-0010-0000-0200-000006000000}" name="From"/>
    <tableColumn id="7" xr3:uid="{00000000-0010-0000-0200-000007000000}" name="FromInclusive"/>
    <tableColumn id="8" xr3:uid="{00000000-0010-0000-0200-000008000000}" name="To"/>
    <tableColumn id="9" xr3:uid="{00000000-0010-0000-0200-000009000000}" name="CostOfSalesMin"/>
    <tableColumn id="10" xr3:uid="{00000000-0010-0000-0200-00000A000000}" name="CostOfSalesMax"/>
    <tableColumn id="11" xr3:uid="{00000000-0010-0000-0200-00000B000000}" name="TotalExpensesMin"/>
    <tableColumn id="12" xr3:uid="{00000000-0010-0000-0200-00000C000000}" name="TotalExpensesMax"/>
    <tableColumn id="13" xr3:uid="{00000000-0010-0000-0200-00000D000000}" name="Retrieved"/>
    <tableColumn id="14" xr3:uid="{00000000-0010-0000-0200-00000E000000}" name="Sha256"/>
    <tableColumn id="15" xr3:uid="{00000000-0010-0000-0200-00000F000000}" name="LabourMin"/>
    <tableColumn id="16" xr3:uid="{00000000-0010-0000-0200-000010000000}" name="LabourMax"/>
    <tableColumn id="17" xr3:uid="{00000000-0010-0000-0200-000011000000}" name="RentMin"/>
    <tableColumn id="18" xr3:uid="{00000000-0010-0000-0200-000012000000}" name="RentMax"/>
    <tableColumn id="19" xr3:uid="{00000000-0010-0000-0200-000013000000}" name="MotorVehicleMin"/>
    <tableColumn id="20" xr3:uid="{00000000-0010-0000-0200-000014000000}" name="MotorVehicleMax"/>
    <tableColumn id="21" xr3:uid="{00000000-0010-0000-0200-000015000000}" name="PageRanges"/>
    <tableColumn id="22" xr3:uid="{00000000-0010-0000-0200-000016000000}" name="PageSha256"/>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3"/>
  <sheetViews>
    <sheetView tabSelected="1" workbookViewId="0"/>
  </sheetViews>
  <sheetFormatPr defaultRowHeight="15" x14ac:dyDescent="0.25"/>
  <cols>
    <col min="1" max="1" width="110" customWidth="1"/>
  </cols>
  <sheetData>
    <row r="1" spans="1:1" ht="18.75" x14ac:dyDescent="0.3">
      <c r="A1" s="1" t="s">
        <v>0</v>
      </c>
    </row>
    <row r="3" spans="1:1" ht="30" x14ac:dyDescent="0.25">
      <c r="A3" s="2" t="s">
        <v>1</v>
      </c>
    </row>
    <row r="4" spans="1:1" ht="30" x14ac:dyDescent="0.25">
      <c r="A4" s="2" t="s">
        <v>2</v>
      </c>
    </row>
    <row r="5" spans="1:1" ht="30" x14ac:dyDescent="0.25">
      <c r="A5" s="2" t="s">
        <v>3</v>
      </c>
    </row>
    <row r="6" spans="1:1" ht="30" x14ac:dyDescent="0.25">
      <c r="A6" s="2" t="s">
        <v>4</v>
      </c>
    </row>
    <row r="7" spans="1:1" ht="30" x14ac:dyDescent="0.25">
      <c r="A7" s="2" t="s">
        <v>5</v>
      </c>
    </row>
    <row r="8" spans="1:1" ht="30" x14ac:dyDescent="0.25">
      <c r="A8" s="2" t="s">
        <v>6</v>
      </c>
    </row>
    <row r="10" spans="1:1" x14ac:dyDescent="0.25">
      <c r="A10" s="3" t="s">
        <v>7</v>
      </c>
    </row>
    <row r="11" spans="1:1" ht="18.75" x14ac:dyDescent="0.3">
      <c r="A11" s="4" t="str">
        <f>'Review Checks'!B13</f>
        <v>REVIEW</v>
      </c>
    </row>
    <row r="13" spans="1:1" x14ac:dyDescent="0.25">
      <c r="A13" t="s">
        <v>8</v>
      </c>
    </row>
  </sheetData>
  <conditionalFormatting sqref="A11">
    <cfRule type="cellIs" dxfId="5" priority="1" operator="equal">
      <formula>"BLOCKED"</formula>
    </cfRule>
    <cfRule type="cellIs" dxfId="4" priority="2" operator="equal">
      <formula>"REVIEW"</formula>
    </cfRule>
    <cfRule type="cellIs" dxfId="3" priority="3" operator="equal">
      <formula>"PASS"</formula>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8"/>
  <sheetViews>
    <sheetView workbookViewId="0"/>
  </sheetViews>
  <sheetFormatPr defaultRowHeight="15" x14ac:dyDescent="0.25"/>
  <cols>
    <col min="1" max="1" width="34" customWidth="1"/>
    <col min="2" max="2" width="16" customWidth="1"/>
    <col min="3" max="3" width="24" customWidth="1"/>
  </cols>
  <sheetData>
    <row r="1" spans="1:6" x14ac:dyDescent="0.25">
      <c r="A1" s="5" t="s">
        <v>9</v>
      </c>
      <c r="B1" s="5" t="s">
        <v>10</v>
      </c>
      <c r="C1" s="5" t="s">
        <v>11</v>
      </c>
      <c r="D1" s="5" t="s">
        <v>12</v>
      </c>
      <c r="E1" s="5" t="s">
        <v>13</v>
      </c>
      <c r="F1" s="5" t="s">
        <v>14</v>
      </c>
    </row>
    <row r="2" spans="1:6" x14ac:dyDescent="0.25">
      <c r="A2" s="6" t="s">
        <v>15</v>
      </c>
      <c r="B2" s="7">
        <v>520000</v>
      </c>
      <c r="C2" s="8" t="str">
        <f>IFERROR(INDEX(tblMapping[Bucket],MATCH(TRUE,INDEX(tblMapping[Key]=tblPnl[[#This Row],[Key]],0),0)),"")</f>
        <v>turnover</v>
      </c>
      <c r="D2" s="8">
        <f>IF(OR(_xlfn.ISFORMULA(tblPnl[[#This Row],[Account]]),_xlfn.ISFORMULA(tblPnl[[#This Row],[Amount]]),AND(tblPnl[[#This Row],[Account]]&lt;&gt;"",NOT(ISNUMBER(tblPnl[[#This Row],[Amount]])))),1,0)</f>
        <v>0</v>
      </c>
      <c r="E2" s="8">
        <f>IF(SUMPRODUCT((LOWER(TRIM(tblPnl[[#This Row],[Account]]))={"sales - bread and rolls","sales - cakes and pastries","interest received","total income","flour and ingredients","packaging","freight inwards","bakery wages","total cost of sales","gross profit","accounting fees","advertising","bank fees","cleaning contractor","depreciation","electricity","insurance","motor vehicle expenses","rent","repairs and maintenance","shop wages","superannuation","wages - director spouse","total operating expenses","net profit before tax","income tax expense","net profit"})*(tblPnl[[#This Row],[Amount]]={520000,330000,1200,851200,240000,24000,6000,95000,365000,486200,4800,3600,1900,7800,21000,18000,7400,9500,62000,6200,175000,24750,45000,386950,99250,12000,87250}))&gt;0,1,0)</f>
        <v>1</v>
      </c>
      <c r="F2" s="8" t="str">
        <f>TRIM(LOWER(tblPnl[[#This Row],[Account]]))</f>
        <v>sales - bread and rolls</v>
      </c>
    </row>
    <row r="3" spans="1:6" x14ac:dyDescent="0.25">
      <c r="A3" s="6" t="s">
        <v>16</v>
      </c>
      <c r="B3" s="7">
        <v>330000</v>
      </c>
      <c r="C3" s="8" t="str">
        <f>IFERROR(INDEX(tblMapping[Bucket],MATCH(TRUE,INDEX(tblMapping[Key]=tblPnl[[#This Row],[Key]],0),0)),"")</f>
        <v>turnover</v>
      </c>
      <c r="D3" s="8">
        <f>IF(OR(_xlfn.ISFORMULA(tblPnl[[#This Row],[Account]]),_xlfn.ISFORMULA(tblPnl[[#This Row],[Amount]]),AND(tblPnl[[#This Row],[Account]]&lt;&gt;"",NOT(ISNUMBER(tblPnl[[#This Row],[Amount]])))),1,0)</f>
        <v>0</v>
      </c>
      <c r="E3" s="8">
        <f>IF(SUMPRODUCT((LOWER(TRIM(tblPnl[[#This Row],[Account]]))={"sales - bread and rolls","sales - cakes and pastries","interest received","total income","flour and ingredients","packaging","freight inwards","bakery wages","total cost of sales","gross profit","accounting fees","advertising","bank fees","cleaning contractor","depreciation","electricity","insurance","motor vehicle expenses","rent","repairs and maintenance","shop wages","superannuation","wages - director spouse","total operating expenses","net profit before tax","income tax expense","net profit"})*(tblPnl[[#This Row],[Amount]]={520000,330000,1200,851200,240000,24000,6000,95000,365000,486200,4800,3600,1900,7800,21000,18000,7400,9500,62000,6200,175000,24750,45000,386950,99250,12000,87250}))&gt;0,1,0)</f>
        <v>1</v>
      </c>
      <c r="F3" s="8" t="str">
        <f>TRIM(LOWER(tblPnl[[#This Row],[Account]]))</f>
        <v>sales - cakes and pastries</v>
      </c>
    </row>
    <row r="4" spans="1:6" x14ac:dyDescent="0.25">
      <c r="A4" s="6" t="s">
        <v>17</v>
      </c>
      <c r="B4" s="7">
        <v>1200</v>
      </c>
      <c r="C4" s="8" t="str">
        <f>IFERROR(INDEX(tblMapping[Bucket],MATCH(TRUE,INDEX(tblMapping[Key]=tblPnl[[#This Row],[Key]],0),0)),"")</f>
        <v>other_income</v>
      </c>
      <c r="D4" s="8">
        <f>IF(OR(_xlfn.ISFORMULA(tblPnl[[#This Row],[Account]]),_xlfn.ISFORMULA(tblPnl[[#This Row],[Amount]]),AND(tblPnl[[#This Row],[Account]]&lt;&gt;"",NOT(ISNUMBER(tblPnl[[#This Row],[Amount]])))),1,0)</f>
        <v>0</v>
      </c>
      <c r="E4" s="8">
        <f>IF(SUMPRODUCT((LOWER(TRIM(tblPnl[[#This Row],[Account]]))={"sales - bread and rolls","sales - cakes and pastries","interest received","total income","flour and ingredients","packaging","freight inwards","bakery wages","total cost of sales","gross profit","accounting fees","advertising","bank fees","cleaning contractor","depreciation","electricity","insurance","motor vehicle expenses","rent","repairs and maintenance","shop wages","superannuation","wages - director spouse","total operating expenses","net profit before tax","income tax expense","net profit"})*(tblPnl[[#This Row],[Amount]]={520000,330000,1200,851200,240000,24000,6000,95000,365000,486200,4800,3600,1900,7800,21000,18000,7400,9500,62000,6200,175000,24750,45000,386950,99250,12000,87250}))&gt;0,1,0)</f>
        <v>1</v>
      </c>
      <c r="F4" s="8" t="str">
        <f>TRIM(LOWER(tblPnl[[#This Row],[Account]]))</f>
        <v>interest received</v>
      </c>
    </row>
    <row r="5" spans="1:6" x14ac:dyDescent="0.25">
      <c r="A5" s="6" t="s">
        <v>18</v>
      </c>
      <c r="B5" s="7">
        <v>851200</v>
      </c>
      <c r="C5" s="8" t="str">
        <f>IFERROR(INDEX(tblMapping[Bucket],MATCH(TRUE,INDEX(tblMapping[Key]=tblPnl[[#This Row],[Key]],0),0)),"")</f>
        <v>excluded</v>
      </c>
      <c r="D5" s="8">
        <f>IF(OR(_xlfn.ISFORMULA(tblPnl[[#This Row],[Account]]),_xlfn.ISFORMULA(tblPnl[[#This Row],[Amount]]),AND(tblPnl[[#This Row],[Account]]&lt;&gt;"",NOT(ISNUMBER(tblPnl[[#This Row],[Amount]])))),1,0)</f>
        <v>0</v>
      </c>
      <c r="E5" s="8">
        <f>IF(SUMPRODUCT((LOWER(TRIM(tblPnl[[#This Row],[Account]]))={"sales - bread and rolls","sales - cakes and pastries","interest received","total income","flour and ingredients","packaging","freight inwards","bakery wages","total cost of sales","gross profit","accounting fees","advertising","bank fees","cleaning contractor","depreciation","electricity","insurance","motor vehicle expenses","rent","repairs and maintenance","shop wages","superannuation","wages - director spouse","total operating expenses","net profit before tax","income tax expense","net profit"})*(tblPnl[[#This Row],[Amount]]={520000,330000,1200,851200,240000,24000,6000,95000,365000,486200,4800,3600,1900,7800,21000,18000,7400,9500,62000,6200,175000,24750,45000,386950,99250,12000,87250}))&gt;0,1,0)</f>
        <v>1</v>
      </c>
      <c r="F5" s="8" t="str">
        <f>TRIM(LOWER(tblPnl[[#This Row],[Account]]))</f>
        <v>total income</v>
      </c>
    </row>
    <row r="6" spans="1:6" x14ac:dyDescent="0.25">
      <c r="A6" s="6" t="s">
        <v>19</v>
      </c>
      <c r="B6" s="7">
        <v>240000</v>
      </c>
      <c r="C6" s="8" t="str">
        <f>IFERROR(INDEX(tblMapping[Bucket],MATCH(TRUE,INDEX(tblMapping[Key]=tblPnl[[#This Row],[Key]],0),0)),"")</f>
        <v>cost_of_sales</v>
      </c>
      <c r="D6" s="8">
        <f>IF(OR(_xlfn.ISFORMULA(tblPnl[[#This Row],[Account]]),_xlfn.ISFORMULA(tblPnl[[#This Row],[Amount]]),AND(tblPnl[[#This Row],[Account]]&lt;&gt;"",NOT(ISNUMBER(tblPnl[[#This Row],[Amount]])))),1,0)</f>
        <v>0</v>
      </c>
      <c r="E6" s="8">
        <f>IF(SUMPRODUCT((LOWER(TRIM(tblPnl[[#This Row],[Account]]))={"sales - bread and rolls","sales - cakes and pastries","interest received","total income","flour and ingredients","packaging","freight inwards","bakery wages","total cost of sales","gross profit","accounting fees","advertising","bank fees","cleaning contractor","depreciation","electricity","insurance","motor vehicle expenses","rent","repairs and maintenance","shop wages","superannuation","wages - director spouse","total operating expenses","net profit before tax","income tax expense","net profit"})*(tblPnl[[#This Row],[Amount]]={520000,330000,1200,851200,240000,24000,6000,95000,365000,486200,4800,3600,1900,7800,21000,18000,7400,9500,62000,6200,175000,24750,45000,386950,99250,12000,87250}))&gt;0,1,0)</f>
        <v>1</v>
      </c>
      <c r="F6" s="8" t="str">
        <f>TRIM(LOWER(tblPnl[[#This Row],[Account]]))</f>
        <v>flour and ingredients</v>
      </c>
    </row>
    <row r="7" spans="1:6" x14ac:dyDescent="0.25">
      <c r="A7" s="6" t="s">
        <v>20</v>
      </c>
      <c r="B7" s="7">
        <v>24000</v>
      </c>
      <c r="C7" s="8" t="str">
        <f>IFERROR(INDEX(tblMapping[Bucket],MATCH(TRUE,INDEX(tblMapping[Key]=tblPnl[[#This Row],[Key]],0),0)),"")</f>
        <v>cost_of_sales</v>
      </c>
      <c r="D7" s="8">
        <f>IF(OR(_xlfn.ISFORMULA(tblPnl[[#This Row],[Account]]),_xlfn.ISFORMULA(tblPnl[[#This Row],[Amount]]),AND(tblPnl[[#This Row],[Account]]&lt;&gt;"",NOT(ISNUMBER(tblPnl[[#This Row],[Amount]])))),1,0)</f>
        <v>0</v>
      </c>
      <c r="E7" s="8">
        <f>IF(SUMPRODUCT((LOWER(TRIM(tblPnl[[#This Row],[Account]]))={"sales - bread and rolls","sales - cakes and pastries","interest received","total income","flour and ingredients","packaging","freight inwards","bakery wages","total cost of sales","gross profit","accounting fees","advertising","bank fees","cleaning contractor","depreciation","electricity","insurance","motor vehicle expenses","rent","repairs and maintenance","shop wages","superannuation","wages - director spouse","total operating expenses","net profit before tax","income tax expense","net profit"})*(tblPnl[[#This Row],[Amount]]={520000,330000,1200,851200,240000,24000,6000,95000,365000,486200,4800,3600,1900,7800,21000,18000,7400,9500,62000,6200,175000,24750,45000,386950,99250,12000,87250}))&gt;0,1,0)</f>
        <v>1</v>
      </c>
      <c r="F7" s="8" t="str">
        <f>TRIM(LOWER(tblPnl[[#This Row],[Account]]))</f>
        <v>packaging</v>
      </c>
    </row>
    <row r="8" spans="1:6" x14ac:dyDescent="0.25">
      <c r="A8" s="6" t="s">
        <v>21</v>
      </c>
      <c r="B8" s="7">
        <v>6000</v>
      </c>
      <c r="C8" s="8" t="str">
        <f>IFERROR(INDEX(tblMapping[Bucket],MATCH(TRUE,INDEX(tblMapping[Key]=tblPnl[[#This Row],[Key]],0),0)),"")</f>
        <v>cost_of_sales</v>
      </c>
      <c r="D8" s="8">
        <f>IF(OR(_xlfn.ISFORMULA(tblPnl[[#This Row],[Account]]),_xlfn.ISFORMULA(tblPnl[[#This Row],[Amount]]),AND(tblPnl[[#This Row],[Account]]&lt;&gt;"",NOT(ISNUMBER(tblPnl[[#This Row],[Amount]])))),1,0)</f>
        <v>0</v>
      </c>
      <c r="E8" s="8">
        <f>IF(SUMPRODUCT((LOWER(TRIM(tblPnl[[#This Row],[Account]]))={"sales - bread and rolls","sales - cakes and pastries","interest received","total income","flour and ingredients","packaging","freight inwards","bakery wages","total cost of sales","gross profit","accounting fees","advertising","bank fees","cleaning contractor","depreciation","electricity","insurance","motor vehicle expenses","rent","repairs and maintenance","shop wages","superannuation","wages - director spouse","total operating expenses","net profit before tax","income tax expense","net profit"})*(tblPnl[[#This Row],[Amount]]={520000,330000,1200,851200,240000,24000,6000,95000,365000,486200,4800,3600,1900,7800,21000,18000,7400,9500,62000,6200,175000,24750,45000,386950,99250,12000,87250}))&gt;0,1,0)</f>
        <v>1</v>
      </c>
      <c r="F8" s="8" t="str">
        <f>TRIM(LOWER(tblPnl[[#This Row],[Account]]))</f>
        <v>freight inwards</v>
      </c>
    </row>
    <row r="9" spans="1:6" x14ac:dyDescent="0.25">
      <c r="A9" s="6" t="s">
        <v>22</v>
      </c>
      <c r="B9" s="7">
        <v>95000</v>
      </c>
      <c r="C9" s="8" t="str">
        <f>IFERROR(INDEX(tblMapping[Bucket],MATCH(TRUE,INDEX(tblMapping[Key]=tblPnl[[#This Row],[Key]],0),0)),"")</f>
        <v>cost_of_sales_labour</v>
      </c>
      <c r="D9" s="8">
        <f>IF(OR(_xlfn.ISFORMULA(tblPnl[[#This Row],[Account]]),_xlfn.ISFORMULA(tblPnl[[#This Row],[Amount]]),AND(tblPnl[[#This Row],[Account]]&lt;&gt;"",NOT(ISNUMBER(tblPnl[[#This Row],[Amount]])))),1,0)</f>
        <v>0</v>
      </c>
      <c r="E9" s="8">
        <f>IF(SUMPRODUCT((LOWER(TRIM(tblPnl[[#This Row],[Account]]))={"sales - bread and rolls","sales - cakes and pastries","interest received","total income","flour and ingredients","packaging","freight inwards","bakery wages","total cost of sales","gross profit","accounting fees","advertising","bank fees","cleaning contractor","depreciation","electricity","insurance","motor vehicle expenses","rent","repairs and maintenance","shop wages","superannuation","wages - director spouse","total operating expenses","net profit before tax","income tax expense","net profit"})*(tblPnl[[#This Row],[Amount]]={520000,330000,1200,851200,240000,24000,6000,95000,365000,486200,4800,3600,1900,7800,21000,18000,7400,9500,62000,6200,175000,24750,45000,386950,99250,12000,87250}))&gt;0,1,0)</f>
        <v>1</v>
      </c>
      <c r="F9" s="8" t="str">
        <f>TRIM(LOWER(tblPnl[[#This Row],[Account]]))</f>
        <v>bakery wages</v>
      </c>
    </row>
    <row r="10" spans="1:6" x14ac:dyDescent="0.25">
      <c r="A10" s="6" t="s">
        <v>23</v>
      </c>
      <c r="B10" s="7">
        <v>365000</v>
      </c>
      <c r="C10" s="8" t="str">
        <f>IFERROR(INDEX(tblMapping[Bucket],MATCH(TRUE,INDEX(tblMapping[Key]=tblPnl[[#This Row],[Key]],0),0)),"")</f>
        <v>excluded</v>
      </c>
      <c r="D10" s="8">
        <f>IF(OR(_xlfn.ISFORMULA(tblPnl[[#This Row],[Account]]),_xlfn.ISFORMULA(tblPnl[[#This Row],[Amount]]),AND(tblPnl[[#This Row],[Account]]&lt;&gt;"",NOT(ISNUMBER(tblPnl[[#This Row],[Amount]])))),1,0)</f>
        <v>0</v>
      </c>
      <c r="E10" s="8">
        <f>IF(SUMPRODUCT((LOWER(TRIM(tblPnl[[#This Row],[Account]]))={"sales - bread and rolls","sales - cakes and pastries","interest received","total income","flour and ingredients","packaging","freight inwards","bakery wages","total cost of sales","gross profit","accounting fees","advertising","bank fees","cleaning contractor","depreciation","electricity","insurance","motor vehicle expenses","rent","repairs and maintenance","shop wages","superannuation","wages - director spouse","total operating expenses","net profit before tax","income tax expense","net profit"})*(tblPnl[[#This Row],[Amount]]={520000,330000,1200,851200,240000,24000,6000,95000,365000,486200,4800,3600,1900,7800,21000,18000,7400,9500,62000,6200,175000,24750,45000,386950,99250,12000,87250}))&gt;0,1,0)</f>
        <v>1</v>
      </c>
      <c r="F10" s="8" t="str">
        <f>TRIM(LOWER(tblPnl[[#This Row],[Account]]))</f>
        <v>total cost of sales</v>
      </c>
    </row>
    <row r="11" spans="1:6" x14ac:dyDescent="0.25">
      <c r="A11" s="6" t="s">
        <v>24</v>
      </c>
      <c r="B11" s="7">
        <v>486200</v>
      </c>
      <c r="C11" s="8" t="str">
        <f>IFERROR(INDEX(tblMapping[Bucket],MATCH(TRUE,INDEX(tblMapping[Key]=tblPnl[[#This Row],[Key]],0),0)),"")</f>
        <v>excluded</v>
      </c>
      <c r="D11" s="8">
        <f>IF(OR(_xlfn.ISFORMULA(tblPnl[[#This Row],[Account]]),_xlfn.ISFORMULA(tblPnl[[#This Row],[Amount]]),AND(tblPnl[[#This Row],[Account]]&lt;&gt;"",NOT(ISNUMBER(tblPnl[[#This Row],[Amount]])))),1,0)</f>
        <v>0</v>
      </c>
      <c r="E11" s="8">
        <f>IF(SUMPRODUCT((LOWER(TRIM(tblPnl[[#This Row],[Account]]))={"sales - bread and rolls","sales - cakes and pastries","interest received","total income","flour and ingredients","packaging","freight inwards","bakery wages","total cost of sales","gross profit","accounting fees","advertising","bank fees","cleaning contractor","depreciation","electricity","insurance","motor vehicle expenses","rent","repairs and maintenance","shop wages","superannuation","wages - director spouse","total operating expenses","net profit before tax","income tax expense","net profit"})*(tblPnl[[#This Row],[Amount]]={520000,330000,1200,851200,240000,24000,6000,95000,365000,486200,4800,3600,1900,7800,21000,18000,7400,9500,62000,6200,175000,24750,45000,386950,99250,12000,87250}))&gt;0,1,0)</f>
        <v>1</v>
      </c>
      <c r="F11" s="8" t="str">
        <f>TRIM(LOWER(tblPnl[[#This Row],[Account]]))</f>
        <v>gross profit</v>
      </c>
    </row>
    <row r="12" spans="1:6" x14ac:dyDescent="0.25">
      <c r="A12" s="6" t="s">
        <v>25</v>
      </c>
      <c r="B12" s="7">
        <v>4800</v>
      </c>
      <c r="C12" s="8" t="str">
        <f>IFERROR(INDEX(tblMapping[Bucket],MATCH(TRUE,INDEX(tblMapping[Key]=tblPnl[[#This Row],[Key]],0),0)),"")</f>
        <v>other_expense</v>
      </c>
      <c r="D12" s="8">
        <f>IF(OR(_xlfn.ISFORMULA(tblPnl[[#This Row],[Account]]),_xlfn.ISFORMULA(tblPnl[[#This Row],[Amount]]),AND(tblPnl[[#This Row],[Account]]&lt;&gt;"",NOT(ISNUMBER(tblPnl[[#This Row],[Amount]])))),1,0)</f>
        <v>0</v>
      </c>
      <c r="E12" s="8">
        <f>IF(SUMPRODUCT((LOWER(TRIM(tblPnl[[#This Row],[Account]]))={"sales - bread and rolls","sales - cakes and pastries","interest received","total income","flour and ingredients","packaging","freight inwards","bakery wages","total cost of sales","gross profit","accounting fees","advertising","bank fees","cleaning contractor","depreciation","electricity","insurance","motor vehicle expenses","rent","repairs and maintenance","shop wages","superannuation","wages - director spouse","total operating expenses","net profit before tax","income tax expense","net profit"})*(tblPnl[[#This Row],[Amount]]={520000,330000,1200,851200,240000,24000,6000,95000,365000,486200,4800,3600,1900,7800,21000,18000,7400,9500,62000,6200,175000,24750,45000,386950,99250,12000,87250}))&gt;0,1,0)</f>
        <v>1</v>
      </c>
      <c r="F12" s="8" t="str">
        <f>TRIM(LOWER(tblPnl[[#This Row],[Account]]))</f>
        <v>accounting fees</v>
      </c>
    </row>
    <row r="13" spans="1:6" x14ac:dyDescent="0.25">
      <c r="A13" s="6" t="s">
        <v>26</v>
      </c>
      <c r="B13" s="7">
        <v>3600</v>
      </c>
      <c r="C13" s="8" t="str">
        <f>IFERROR(INDEX(tblMapping[Bucket],MATCH(TRUE,INDEX(tblMapping[Key]=tblPnl[[#This Row],[Key]],0),0)),"")</f>
        <v>other_expense</v>
      </c>
      <c r="D13" s="8">
        <f>IF(OR(_xlfn.ISFORMULA(tblPnl[[#This Row],[Account]]),_xlfn.ISFORMULA(tblPnl[[#This Row],[Amount]]),AND(tblPnl[[#This Row],[Account]]&lt;&gt;"",NOT(ISNUMBER(tblPnl[[#This Row],[Amount]])))),1,0)</f>
        <v>0</v>
      </c>
      <c r="E13" s="8">
        <f>IF(SUMPRODUCT((LOWER(TRIM(tblPnl[[#This Row],[Account]]))={"sales - bread and rolls","sales - cakes and pastries","interest received","total income","flour and ingredients","packaging","freight inwards","bakery wages","total cost of sales","gross profit","accounting fees","advertising","bank fees","cleaning contractor","depreciation","electricity","insurance","motor vehicle expenses","rent","repairs and maintenance","shop wages","superannuation","wages - director spouse","total operating expenses","net profit before tax","income tax expense","net profit"})*(tblPnl[[#This Row],[Amount]]={520000,330000,1200,851200,240000,24000,6000,95000,365000,486200,4800,3600,1900,7800,21000,18000,7400,9500,62000,6200,175000,24750,45000,386950,99250,12000,87250}))&gt;0,1,0)</f>
        <v>1</v>
      </c>
      <c r="F13" s="8" t="str">
        <f>TRIM(LOWER(tblPnl[[#This Row],[Account]]))</f>
        <v>advertising</v>
      </c>
    </row>
    <row r="14" spans="1:6" x14ac:dyDescent="0.25">
      <c r="A14" s="6" t="s">
        <v>27</v>
      </c>
      <c r="B14" s="7">
        <v>1900</v>
      </c>
      <c r="C14" s="8" t="str">
        <f>IFERROR(INDEX(tblMapping[Bucket],MATCH(TRUE,INDEX(tblMapping[Key]=tblPnl[[#This Row],[Key]],0),0)),"")</f>
        <v>other_expense</v>
      </c>
      <c r="D14" s="8">
        <f>IF(OR(_xlfn.ISFORMULA(tblPnl[[#This Row],[Account]]),_xlfn.ISFORMULA(tblPnl[[#This Row],[Amount]]),AND(tblPnl[[#This Row],[Account]]&lt;&gt;"",NOT(ISNUMBER(tblPnl[[#This Row],[Amount]])))),1,0)</f>
        <v>0</v>
      </c>
      <c r="E14" s="8">
        <f>IF(SUMPRODUCT((LOWER(TRIM(tblPnl[[#This Row],[Account]]))={"sales - bread and rolls","sales - cakes and pastries","interest received","total income","flour and ingredients","packaging","freight inwards","bakery wages","total cost of sales","gross profit","accounting fees","advertising","bank fees","cleaning contractor","depreciation","electricity","insurance","motor vehicle expenses","rent","repairs and maintenance","shop wages","superannuation","wages - director spouse","total operating expenses","net profit before tax","income tax expense","net profit"})*(tblPnl[[#This Row],[Amount]]={520000,330000,1200,851200,240000,24000,6000,95000,365000,486200,4800,3600,1900,7800,21000,18000,7400,9500,62000,6200,175000,24750,45000,386950,99250,12000,87250}))&gt;0,1,0)</f>
        <v>1</v>
      </c>
      <c r="F14" s="8" t="str">
        <f>TRIM(LOWER(tblPnl[[#This Row],[Account]]))</f>
        <v>bank fees</v>
      </c>
    </row>
    <row r="15" spans="1:6" x14ac:dyDescent="0.25">
      <c r="A15" s="6" t="s">
        <v>28</v>
      </c>
      <c r="B15" s="7">
        <v>7800</v>
      </c>
      <c r="C15" s="8" t="str">
        <f>IFERROR(INDEX(tblMapping[Bucket],MATCH(TRUE,INDEX(tblMapping[Key]=tblPnl[[#This Row],[Key]],0),0)),"")</f>
        <v>contractor_commission</v>
      </c>
      <c r="D15" s="8">
        <f>IF(OR(_xlfn.ISFORMULA(tblPnl[[#This Row],[Account]]),_xlfn.ISFORMULA(tblPnl[[#This Row],[Amount]]),AND(tblPnl[[#This Row],[Account]]&lt;&gt;"",NOT(ISNUMBER(tblPnl[[#This Row],[Amount]])))),1,0)</f>
        <v>0</v>
      </c>
      <c r="E15" s="8">
        <f>IF(SUMPRODUCT((LOWER(TRIM(tblPnl[[#This Row],[Account]]))={"sales - bread and rolls","sales - cakes and pastries","interest received","total income","flour and ingredients","packaging","freight inwards","bakery wages","total cost of sales","gross profit","accounting fees","advertising","bank fees","cleaning contractor","depreciation","electricity","insurance","motor vehicle expenses","rent","repairs and maintenance","shop wages","superannuation","wages - director spouse","total operating expenses","net profit before tax","income tax expense","net profit"})*(tblPnl[[#This Row],[Amount]]={520000,330000,1200,851200,240000,24000,6000,95000,365000,486200,4800,3600,1900,7800,21000,18000,7400,9500,62000,6200,175000,24750,45000,386950,99250,12000,87250}))&gt;0,1,0)</f>
        <v>1</v>
      </c>
      <c r="F15" s="8" t="str">
        <f>TRIM(LOWER(tblPnl[[#This Row],[Account]]))</f>
        <v>cleaning contractor</v>
      </c>
    </row>
    <row r="16" spans="1:6" x14ac:dyDescent="0.25">
      <c r="A16" s="6" t="s">
        <v>29</v>
      </c>
      <c r="B16" s="7">
        <v>21000</v>
      </c>
      <c r="C16" s="8" t="str">
        <f>IFERROR(INDEX(tblMapping[Bucket],MATCH(TRUE,INDEX(tblMapping[Key]=tblPnl[[#This Row],[Key]],0),0)),"")</f>
        <v>other_expense</v>
      </c>
      <c r="D16" s="8">
        <f>IF(OR(_xlfn.ISFORMULA(tblPnl[[#This Row],[Account]]),_xlfn.ISFORMULA(tblPnl[[#This Row],[Amount]]),AND(tblPnl[[#This Row],[Account]]&lt;&gt;"",NOT(ISNUMBER(tblPnl[[#This Row],[Amount]])))),1,0)</f>
        <v>0</v>
      </c>
      <c r="E16" s="8">
        <f>IF(SUMPRODUCT((LOWER(TRIM(tblPnl[[#This Row],[Account]]))={"sales - bread and rolls","sales - cakes and pastries","interest received","total income","flour and ingredients","packaging","freight inwards","bakery wages","total cost of sales","gross profit","accounting fees","advertising","bank fees","cleaning contractor","depreciation","electricity","insurance","motor vehicle expenses","rent","repairs and maintenance","shop wages","superannuation","wages - director spouse","total operating expenses","net profit before tax","income tax expense","net profit"})*(tblPnl[[#This Row],[Amount]]={520000,330000,1200,851200,240000,24000,6000,95000,365000,486200,4800,3600,1900,7800,21000,18000,7400,9500,62000,6200,175000,24750,45000,386950,99250,12000,87250}))&gt;0,1,0)</f>
        <v>1</v>
      </c>
      <c r="F16" s="8" t="str">
        <f>TRIM(LOWER(tblPnl[[#This Row],[Account]]))</f>
        <v>depreciation</v>
      </c>
    </row>
    <row r="17" spans="1:6" x14ac:dyDescent="0.25">
      <c r="A17" s="6" t="s">
        <v>30</v>
      </c>
      <c r="B17" s="7">
        <v>18000</v>
      </c>
      <c r="C17" s="8" t="str">
        <f>IFERROR(INDEX(tblMapping[Bucket],MATCH(TRUE,INDEX(tblMapping[Key]=tblPnl[[#This Row],[Key]],0),0)),"")</f>
        <v>other_expense</v>
      </c>
      <c r="D17" s="8">
        <f>IF(OR(_xlfn.ISFORMULA(tblPnl[[#This Row],[Account]]),_xlfn.ISFORMULA(tblPnl[[#This Row],[Amount]]),AND(tblPnl[[#This Row],[Account]]&lt;&gt;"",NOT(ISNUMBER(tblPnl[[#This Row],[Amount]])))),1,0)</f>
        <v>0</v>
      </c>
      <c r="E17" s="8">
        <f>IF(SUMPRODUCT((LOWER(TRIM(tblPnl[[#This Row],[Account]]))={"sales - bread and rolls","sales - cakes and pastries","interest received","total income","flour and ingredients","packaging","freight inwards","bakery wages","total cost of sales","gross profit","accounting fees","advertising","bank fees","cleaning contractor","depreciation","electricity","insurance","motor vehicle expenses","rent","repairs and maintenance","shop wages","superannuation","wages - director spouse","total operating expenses","net profit before tax","income tax expense","net profit"})*(tblPnl[[#This Row],[Amount]]={520000,330000,1200,851200,240000,24000,6000,95000,365000,486200,4800,3600,1900,7800,21000,18000,7400,9500,62000,6200,175000,24750,45000,386950,99250,12000,87250}))&gt;0,1,0)</f>
        <v>1</v>
      </c>
      <c r="F17" s="8" t="str">
        <f>TRIM(LOWER(tblPnl[[#This Row],[Account]]))</f>
        <v>electricity</v>
      </c>
    </row>
    <row r="18" spans="1:6" x14ac:dyDescent="0.25">
      <c r="A18" s="6" t="s">
        <v>31</v>
      </c>
      <c r="B18" s="7">
        <v>7400</v>
      </c>
      <c r="C18" s="8" t="str">
        <f>IFERROR(INDEX(tblMapping[Bucket],MATCH(TRUE,INDEX(tblMapping[Key]=tblPnl[[#This Row],[Key]],0),0)),"")</f>
        <v>other_expense</v>
      </c>
      <c r="D18" s="8">
        <f>IF(OR(_xlfn.ISFORMULA(tblPnl[[#This Row],[Account]]),_xlfn.ISFORMULA(tblPnl[[#This Row],[Amount]]),AND(tblPnl[[#This Row],[Account]]&lt;&gt;"",NOT(ISNUMBER(tblPnl[[#This Row],[Amount]])))),1,0)</f>
        <v>0</v>
      </c>
      <c r="E18" s="8">
        <f>IF(SUMPRODUCT((LOWER(TRIM(tblPnl[[#This Row],[Account]]))={"sales - bread and rolls","sales - cakes and pastries","interest received","total income","flour and ingredients","packaging","freight inwards","bakery wages","total cost of sales","gross profit","accounting fees","advertising","bank fees","cleaning contractor","depreciation","electricity","insurance","motor vehicle expenses","rent","repairs and maintenance","shop wages","superannuation","wages - director spouse","total operating expenses","net profit before tax","income tax expense","net profit"})*(tblPnl[[#This Row],[Amount]]={520000,330000,1200,851200,240000,24000,6000,95000,365000,486200,4800,3600,1900,7800,21000,18000,7400,9500,62000,6200,175000,24750,45000,386950,99250,12000,87250}))&gt;0,1,0)</f>
        <v>1</v>
      </c>
      <c r="F18" s="8" t="str">
        <f>TRIM(LOWER(tblPnl[[#This Row],[Account]]))</f>
        <v>insurance</v>
      </c>
    </row>
    <row r="19" spans="1:6" x14ac:dyDescent="0.25">
      <c r="A19" s="6" t="s">
        <v>32</v>
      </c>
      <c r="B19" s="7">
        <v>9500</v>
      </c>
      <c r="C19" s="8" t="str">
        <f>IFERROR(INDEX(tblMapping[Bucket],MATCH(TRUE,INDEX(tblMapping[Key]=tblPnl[[#This Row],[Key]],0),0)),"")</f>
        <v>motor_vehicle</v>
      </c>
      <c r="D19" s="8">
        <f>IF(OR(_xlfn.ISFORMULA(tblPnl[[#This Row],[Account]]),_xlfn.ISFORMULA(tblPnl[[#This Row],[Amount]]),AND(tblPnl[[#This Row],[Account]]&lt;&gt;"",NOT(ISNUMBER(tblPnl[[#This Row],[Amount]])))),1,0)</f>
        <v>0</v>
      </c>
      <c r="E19" s="8">
        <f>IF(SUMPRODUCT((LOWER(TRIM(tblPnl[[#This Row],[Account]]))={"sales - bread and rolls","sales - cakes and pastries","interest received","total income","flour and ingredients","packaging","freight inwards","bakery wages","total cost of sales","gross profit","accounting fees","advertising","bank fees","cleaning contractor","depreciation","electricity","insurance","motor vehicle expenses","rent","repairs and maintenance","shop wages","superannuation","wages - director spouse","total operating expenses","net profit before tax","income tax expense","net profit"})*(tblPnl[[#This Row],[Amount]]={520000,330000,1200,851200,240000,24000,6000,95000,365000,486200,4800,3600,1900,7800,21000,18000,7400,9500,62000,6200,175000,24750,45000,386950,99250,12000,87250}))&gt;0,1,0)</f>
        <v>1</v>
      </c>
      <c r="F19" s="8" t="str">
        <f>TRIM(LOWER(tblPnl[[#This Row],[Account]]))</f>
        <v>motor vehicle expenses</v>
      </c>
    </row>
    <row r="20" spans="1:6" x14ac:dyDescent="0.25">
      <c r="A20" s="6" t="s">
        <v>33</v>
      </c>
      <c r="B20" s="7">
        <v>62000</v>
      </c>
      <c r="C20" s="8" t="str">
        <f>IFERROR(INDEX(tblMapping[Bucket],MATCH(TRUE,INDEX(tblMapping[Key]=tblPnl[[#This Row],[Key]],0),0)),"")</f>
        <v>rent</v>
      </c>
      <c r="D20" s="8">
        <f>IF(OR(_xlfn.ISFORMULA(tblPnl[[#This Row],[Account]]),_xlfn.ISFORMULA(tblPnl[[#This Row],[Amount]]),AND(tblPnl[[#This Row],[Account]]&lt;&gt;"",NOT(ISNUMBER(tblPnl[[#This Row],[Amount]])))),1,0)</f>
        <v>0</v>
      </c>
      <c r="E20" s="8">
        <f>IF(SUMPRODUCT((LOWER(TRIM(tblPnl[[#This Row],[Account]]))={"sales - bread and rolls","sales - cakes and pastries","interest received","total income","flour and ingredients","packaging","freight inwards","bakery wages","total cost of sales","gross profit","accounting fees","advertising","bank fees","cleaning contractor","depreciation","electricity","insurance","motor vehicle expenses","rent","repairs and maintenance","shop wages","superannuation","wages - director spouse","total operating expenses","net profit before tax","income tax expense","net profit"})*(tblPnl[[#This Row],[Amount]]={520000,330000,1200,851200,240000,24000,6000,95000,365000,486200,4800,3600,1900,7800,21000,18000,7400,9500,62000,6200,175000,24750,45000,386950,99250,12000,87250}))&gt;0,1,0)</f>
        <v>1</v>
      </c>
      <c r="F20" s="8" t="str">
        <f>TRIM(LOWER(tblPnl[[#This Row],[Account]]))</f>
        <v>rent</v>
      </c>
    </row>
    <row r="21" spans="1:6" x14ac:dyDescent="0.25">
      <c r="A21" s="6" t="s">
        <v>34</v>
      </c>
      <c r="B21" s="7">
        <v>6200</v>
      </c>
      <c r="C21" s="8" t="str">
        <f>IFERROR(INDEX(tblMapping[Bucket],MATCH(TRUE,INDEX(tblMapping[Key]=tblPnl[[#This Row],[Key]],0),0)),"")</f>
        <v>other_expense</v>
      </c>
      <c r="D21" s="8">
        <f>IF(OR(_xlfn.ISFORMULA(tblPnl[[#This Row],[Account]]),_xlfn.ISFORMULA(tblPnl[[#This Row],[Amount]]),AND(tblPnl[[#This Row],[Account]]&lt;&gt;"",NOT(ISNUMBER(tblPnl[[#This Row],[Amount]])))),1,0)</f>
        <v>0</v>
      </c>
      <c r="E21" s="8">
        <f>IF(SUMPRODUCT((LOWER(TRIM(tblPnl[[#This Row],[Account]]))={"sales - bread and rolls","sales - cakes and pastries","interest received","total income","flour and ingredients","packaging","freight inwards","bakery wages","total cost of sales","gross profit","accounting fees","advertising","bank fees","cleaning contractor","depreciation","electricity","insurance","motor vehicle expenses","rent","repairs and maintenance","shop wages","superannuation","wages - director spouse","total operating expenses","net profit before tax","income tax expense","net profit"})*(tblPnl[[#This Row],[Amount]]={520000,330000,1200,851200,240000,24000,6000,95000,365000,486200,4800,3600,1900,7800,21000,18000,7400,9500,62000,6200,175000,24750,45000,386950,99250,12000,87250}))&gt;0,1,0)</f>
        <v>1</v>
      </c>
      <c r="F21" s="8" t="str">
        <f>TRIM(LOWER(tblPnl[[#This Row],[Account]]))</f>
        <v>repairs and maintenance</v>
      </c>
    </row>
    <row r="22" spans="1:6" x14ac:dyDescent="0.25">
      <c r="A22" s="6" t="s">
        <v>35</v>
      </c>
      <c r="B22" s="7">
        <v>175000</v>
      </c>
      <c r="C22" s="8" t="str">
        <f>IFERROR(INDEX(tblMapping[Bucket],MATCH(TRUE,INDEX(tblMapping[Key]=tblPnl[[#This Row],[Key]],0),0)),"")</f>
        <v>salary_wages</v>
      </c>
      <c r="D22" s="8">
        <f>IF(OR(_xlfn.ISFORMULA(tblPnl[[#This Row],[Account]]),_xlfn.ISFORMULA(tblPnl[[#This Row],[Amount]]),AND(tblPnl[[#This Row],[Account]]&lt;&gt;"",NOT(ISNUMBER(tblPnl[[#This Row],[Amount]])))),1,0)</f>
        <v>0</v>
      </c>
      <c r="E22" s="8">
        <f>IF(SUMPRODUCT((LOWER(TRIM(tblPnl[[#This Row],[Account]]))={"sales - bread and rolls","sales - cakes and pastries","interest received","total income","flour and ingredients","packaging","freight inwards","bakery wages","total cost of sales","gross profit","accounting fees","advertising","bank fees","cleaning contractor","depreciation","electricity","insurance","motor vehicle expenses","rent","repairs and maintenance","shop wages","superannuation","wages - director spouse","total operating expenses","net profit before tax","income tax expense","net profit"})*(tblPnl[[#This Row],[Amount]]={520000,330000,1200,851200,240000,24000,6000,95000,365000,486200,4800,3600,1900,7800,21000,18000,7400,9500,62000,6200,175000,24750,45000,386950,99250,12000,87250}))&gt;0,1,0)</f>
        <v>1</v>
      </c>
      <c r="F22" s="8" t="str">
        <f>TRIM(LOWER(tblPnl[[#This Row],[Account]]))</f>
        <v>shop wages</v>
      </c>
    </row>
    <row r="23" spans="1:6" x14ac:dyDescent="0.25">
      <c r="A23" s="6" t="s">
        <v>36</v>
      </c>
      <c r="B23" s="7">
        <v>24750</v>
      </c>
      <c r="C23" s="8" t="str">
        <f>IFERROR(INDEX(tblMapping[Bucket],MATCH(TRUE,INDEX(tblMapping[Key]=tblPnl[[#This Row],[Key]],0),0)),"")</f>
        <v>other_expense</v>
      </c>
      <c r="D23" s="8">
        <f>IF(OR(_xlfn.ISFORMULA(tblPnl[[#This Row],[Account]]),_xlfn.ISFORMULA(tblPnl[[#This Row],[Amount]]),AND(tblPnl[[#This Row],[Account]]&lt;&gt;"",NOT(ISNUMBER(tblPnl[[#This Row],[Amount]])))),1,0)</f>
        <v>0</v>
      </c>
      <c r="E23" s="8">
        <f>IF(SUMPRODUCT((LOWER(TRIM(tblPnl[[#This Row],[Account]]))={"sales - bread and rolls","sales - cakes and pastries","interest received","total income","flour and ingredients","packaging","freight inwards","bakery wages","total cost of sales","gross profit","accounting fees","advertising","bank fees","cleaning contractor","depreciation","electricity","insurance","motor vehicle expenses","rent","repairs and maintenance","shop wages","superannuation","wages - director spouse","total operating expenses","net profit before tax","income tax expense","net profit"})*(tblPnl[[#This Row],[Amount]]={520000,330000,1200,851200,240000,24000,6000,95000,365000,486200,4800,3600,1900,7800,21000,18000,7400,9500,62000,6200,175000,24750,45000,386950,99250,12000,87250}))&gt;0,1,0)</f>
        <v>1</v>
      </c>
      <c r="F23" s="8" t="str">
        <f>TRIM(LOWER(tblPnl[[#This Row],[Account]]))</f>
        <v>superannuation</v>
      </c>
    </row>
    <row r="24" spans="1:6" x14ac:dyDescent="0.25">
      <c r="A24" s="6" t="s">
        <v>37</v>
      </c>
      <c r="B24" s="7">
        <v>45000</v>
      </c>
      <c r="C24" s="8" t="str">
        <f>IFERROR(INDEX(tblMapping[Bucket],MATCH(TRUE,INDEX(tblMapping[Key]=tblPnl[[#This Row],[Key]],0),0)),"")</f>
        <v>associated_persons</v>
      </c>
      <c r="D24" s="8">
        <f>IF(OR(_xlfn.ISFORMULA(tblPnl[[#This Row],[Account]]),_xlfn.ISFORMULA(tblPnl[[#This Row],[Amount]]),AND(tblPnl[[#This Row],[Account]]&lt;&gt;"",NOT(ISNUMBER(tblPnl[[#This Row],[Amount]])))),1,0)</f>
        <v>0</v>
      </c>
      <c r="E24" s="8">
        <f>IF(SUMPRODUCT((LOWER(TRIM(tblPnl[[#This Row],[Account]]))={"sales - bread and rolls","sales - cakes and pastries","interest received","total income","flour and ingredients","packaging","freight inwards","bakery wages","total cost of sales","gross profit","accounting fees","advertising","bank fees","cleaning contractor","depreciation","electricity","insurance","motor vehicle expenses","rent","repairs and maintenance","shop wages","superannuation","wages - director spouse","total operating expenses","net profit before tax","income tax expense","net profit"})*(tblPnl[[#This Row],[Amount]]={520000,330000,1200,851200,240000,24000,6000,95000,365000,486200,4800,3600,1900,7800,21000,18000,7400,9500,62000,6200,175000,24750,45000,386950,99250,12000,87250}))&gt;0,1,0)</f>
        <v>1</v>
      </c>
      <c r="F24" s="8" t="str">
        <f>TRIM(LOWER(tblPnl[[#This Row],[Account]]))</f>
        <v>wages - director spouse</v>
      </c>
    </row>
    <row r="25" spans="1:6" x14ac:dyDescent="0.25">
      <c r="A25" s="6" t="s">
        <v>38</v>
      </c>
      <c r="B25" s="7">
        <v>386950</v>
      </c>
      <c r="C25" s="8" t="str">
        <f>IFERROR(INDEX(tblMapping[Bucket],MATCH(TRUE,INDEX(tblMapping[Key]=tblPnl[[#This Row],[Key]],0),0)),"")</f>
        <v>excluded</v>
      </c>
      <c r="D25" s="8">
        <f>IF(OR(_xlfn.ISFORMULA(tblPnl[[#This Row],[Account]]),_xlfn.ISFORMULA(tblPnl[[#This Row],[Amount]]),AND(tblPnl[[#This Row],[Account]]&lt;&gt;"",NOT(ISNUMBER(tblPnl[[#This Row],[Amount]])))),1,0)</f>
        <v>0</v>
      </c>
      <c r="E25" s="8">
        <f>IF(SUMPRODUCT((LOWER(TRIM(tblPnl[[#This Row],[Account]]))={"sales - bread and rolls","sales - cakes and pastries","interest received","total income","flour and ingredients","packaging","freight inwards","bakery wages","total cost of sales","gross profit","accounting fees","advertising","bank fees","cleaning contractor","depreciation","electricity","insurance","motor vehicle expenses","rent","repairs and maintenance","shop wages","superannuation","wages - director spouse","total operating expenses","net profit before tax","income tax expense","net profit"})*(tblPnl[[#This Row],[Amount]]={520000,330000,1200,851200,240000,24000,6000,95000,365000,486200,4800,3600,1900,7800,21000,18000,7400,9500,62000,6200,175000,24750,45000,386950,99250,12000,87250}))&gt;0,1,0)</f>
        <v>1</v>
      </c>
      <c r="F25" s="8" t="str">
        <f>TRIM(LOWER(tblPnl[[#This Row],[Account]]))</f>
        <v>total operating expenses</v>
      </c>
    </row>
    <row r="26" spans="1:6" x14ac:dyDescent="0.25">
      <c r="A26" s="6" t="s">
        <v>39</v>
      </c>
      <c r="B26" s="7">
        <v>99250</v>
      </c>
      <c r="C26" s="8" t="str">
        <f>IFERROR(INDEX(tblMapping[Bucket],MATCH(TRUE,INDEX(tblMapping[Key]=tblPnl[[#This Row],[Key]],0),0)),"")</f>
        <v>excluded</v>
      </c>
      <c r="D26" s="8">
        <f>IF(OR(_xlfn.ISFORMULA(tblPnl[[#This Row],[Account]]),_xlfn.ISFORMULA(tblPnl[[#This Row],[Amount]]),AND(tblPnl[[#This Row],[Account]]&lt;&gt;"",NOT(ISNUMBER(tblPnl[[#This Row],[Amount]])))),1,0)</f>
        <v>0</v>
      </c>
      <c r="E26" s="8">
        <f>IF(SUMPRODUCT((LOWER(TRIM(tblPnl[[#This Row],[Account]]))={"sales - bread and rolls","sales - cakes and pastries","interest received","total income","flour and ingredients","packaging","freight inwards","bakery wages","total cost of sales","gross profit","accounting fees","advertising","bank fees","cleaning contractor","depreciation","electricity","insurance","motor vehicle expenses","rent","repairs and maintenance","shop wages","superannuation","wages - director spouse","total operating expenses","net profit before tax","income tax expense","net profit"})*(tblPnl[[#This Row],[Amount]]={520000,330000,1200,851200,240000,24000,6000,95000,365000,486200,4800,3600,1900,7800,21000,18000,7400,9500,62000,6200,175000,24750,45000,386950,99250,12000,87250}))&gt;0,1,0)</f>
        <v>1</v>
      </c>
      <c r="F26" s="8" t="str">
        <f>TRIM(LOWER(tblPnl[[#This Row],[Account]]))</f>
        <v>net profit before tax</v>
      </c>
    </row>
    <row r="27" spans="1:6" x14ac:dyDescent="0.25">
      <c r="A27" s="6" t="s">
        <v>40</v>
      </c>
      <c r="B27" s="7">
        <v>12000</v>
      </c>
      <c r="C27" s="8" t="str">
        <f>IFERROR(INDEX(tblMapping[Bucket],MATCH(TRUE,INDEX(tblMapping[Key]=tblPnl[[#This Row],[Key]],0),0)),"")</f>
        <v>excluded</v>
      </c>
      <c r="D27" s="8">
        <f>IF(OR(_xlfn.ISFORMULA(tblPnl[[#This Row],[Account]]),_xlfn.ISFORMULA(tblPnl[[#This Row],[Amount]]),AND(tblPnl[[#This Row],[Account]]&lt;&gt;"",NOT(ISNUMBER(tblPnl[[#This Row],[Amount]])))),1,0)</f>
        <v>0</v>
      </c>
      <c r="E27" s="8">
        <f>IF(SUMPRODUCT((LOWER(TRIM(tblPnl[[#This Row],[Account]]))={"sales - bread and rolls","sales - cakes and pastries","interest received","total income","flour and ingredients","packaging","freight inwards","bakery wages","total cost of sales","gross profit","accounting fees","advertising","bank fees","cleaning contractor","depreciation","electricity","insurance","motor vehicle expenses","rent","repairs and maintenance","shop wages","superannuation","wages - director spouse","total operating expenses","net profit before tax","income tax expense","net profit"})*(tblPnl[[#This Row],[Amount]]={520000,330000,1200,851200,240000,24000,6000,95000,365000,486200,4800,3600,1900,7800,21000,18000,7400,9500,62000,6200,175000,24750,45000,386950,99250,12000,87250}))&gt;0,1,0)</f>
        <v>1</v>
      </c>
      <c r="F27" s="8" t="str">
        <f>TRIM(LOWER(tblPnl[[#This Row],[Account]]))</f>
        <v>income tax expense</v>
      </c>
    </row>
    <row r="28" spans="1:6" x14ac:dyDescent="0.25">
      <c r="A28" s="6" t="s">
        <v>41</v>
      </c>
      <c r="B28" s="7">
        <v>87250</v>
      </c>
      <c r="C28" s="8" t="str">
        <f>IFERROR(INDEX(tblMapping[Bucket],MATCH(TRUE,INDEX(tblMapping[Key]=tblPnl[[#This Row],[Key]],0),0)),"")</f>
        <v>excluded</v>
      </c>
      <c r="D28" s="8">
        <f>IF(OR(_xlfn.ISFORMULA(tblPnl[[#This Row],[Account]]),_xlfn.ISFORMULA(tblPnl[[#This Row],[Amount]]),AND(tblPnl[[#This Row],[Account]]&lt;&gt;"",NOT(ISNUMBER(tblPnl[[#This Row],[Amount]])))),1,0)</f>
        <v>0</v>
      </c>
      <c r="E28" s="8">
        <f>IF(SUMPRODUCT((LOWER(TRIM(tblPnl[[#This Row],[Account]]))={"sales - bread and rolls","sales - cakes and pastries","interest received","total income","flour and ingredients","packaging","freight inwards","bakery wages","total cost of sales","gross profit","accounting fees","advertising","bank fees","cleaning contractor","depreciation","electricity","insurance","motor vehicle expenses","rent","repairs and maintenance","shop wages","superannuation","wages - director spouse","total operating expenses","net profit before tax","income tax expense","net profit"})*(tblPnl[[#This Row],[Amount]]={520000,330000,1200,851200,240000,24000,6000,95000,365000,486200,4800,3600,1900,7800,21000,18000,7400,9500,62000,6200,175000,24750,45000,386950,99250,12000,87250}))&gt;0,1,0)</f>
        <v>1</v>
      </c>
      <c r="F28" s="8" t="str">
        <f>TRIM(LOWER(tblPnl[[#This Row],[Account]]))</f>
        <v>net profit</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8"/>
  <sheetViews>
    <sheetView workbookViewId="0"/>
  </sheetViews>
  <sheetFormatPr defaultRowHeight="15" x14ac:dyDescent="0.25"/>
  <cols>
    <col min="1" max="1" width="34" customWidth="1"/>
    <col min="2" max="2" width="24" customWidth="1"/>
    <col min="3" max="3" width="12" customWidth="1"/>
    <col min="4" max="4" width="60" customWidth="1"/>
    <col min="5" max="5" width="34" customWidth="1"/>
  </cols>
  <sheetData>
    <row r="1" spans="1:5" x14ac:dyDescent="0.25">
      <c r="A1" s="5" t="s">
        <v>9</v>
      </c>
      <c r="B1" s="5" t="s">
        <v>11</v>
      </c>
      <c r="C1" s="5" t="s">
        <v>42</v>
      </c>
      <c r="D1" s="5" t="s">
        <v>43</v>
      </c>
      <c r="E1" s="5" t="s">
        <v>14</v>
      </c>
    </row>
    <row r="2" spans="1:5" x14ac:dyDescent="0.25">
      <c r="A2" s="6" t="s">
        <v>15</v>
      </c>
      <c r="B2" s="9" t="s">
        <v>44</v>
      </c>
      <c r="C2" s="9" t="s">
        <v>45</v>
      </c>
      <c r="D2" s="6" t="s">
        <v>46</v>
      </c>
      <c r="E2" s="8" t="str">
        <f>TRIM(LOWER(tblMapping[[#This Row],[Account]]))</f>
        <v>sales - bread and rolls</v>
      </c>
    </row>
    <row r="3" spans="1:5" x14ac:dyDescent="0.25">
      <c r="A3" s="6" t="s">
        <v>16</v>
      </c>
      <c r="B3" s="9" t="s">
        <v>44</v>
      </c>
      <c r="C3" s="9" t="s">
        <v>45</v>
      </c>
      <c r="D3" s="6" t="s">
        <v>46</v>
      </c>
      <c r="E3" s="8" t="str">
        <f>TRIM(LOWER(tblMapping[[#This Row],[Account]]))</f>
        <v>sales - cakes and pastries</v>
      </c>
    </row>
    <row r="4" spans="1:5" x14ac:dyDescent="0.25">
      <c r="A4" s="6" t="s">
        <v>17</v>
      </c>
      <c r="B4" s="9" t="s">
        <v>47</v>
      </c>
      <c r="C4" s="9" t="s">
        <v>45</v>
      </c>
      <c r="D4" s="6" t="s">
        <v>48</v>
      </c>
      <c r="E4" s="8" t="str">
        <f>TRIM(LOWER(tblMapping[[#This Row],[Account]]))</f>
        <v>interest received</v>
      </c>
    </row>
    <row r="5" spans="1:5" x14ac:dyDescent="0.25">
      <c r="A5" s="6" t="s">
        <v>18</v>
      </c>
      <c r="B5" s="9" t="s">
        <v>49</v>
      </c>
      <c r="C5" s="9" t="s">
        <v>45</v>
      </c>
      <c r="D5" s="6" t="s">
        <v>50</v>
      </c>
      <c r="E5" s="8" t="str">
        <f>TRIM(LOWER(tblMapping[[#This Row],[Account]]))</f>
        <v>total income</v>
      </c>
    </row>
    <row r="6" spans="1:5" x14ac:dyDescent="0.25">
      <c r="A6" s="6" t="s">
        <v>19</v>
      </c>
      <c r="B6" s="9" t="s">
        <v>51</v>
      </c>
      <c r="C6" s="9" t="s">
        <v>45</v>
      </c>
      <c r="D6" s="6" t="s">
        <v>52</v>
      </c>
      <c r="E6" s="8" t="str">
        <f>TRIM(LOWER(tblMapping[[#This Row],[Account]]))</f>
        <v>flour and ingredients</v>
      </c>
    </row>
    <row r="7" spans="1:5" x14ac:dyDescent="0.25">
      <c r="A7" s="6" t="s">
        <v>20</v>
      </c>
      <c r="B7" s="9" t="s">
        <v>51</v>
      </c>
      <c r="C7" s="9" t="s">
        <v>45</v>
      </c>
      <c r="D7" s="6" t="s">
        <v>52</v>
      </c>
      <c r="E7" s="8" t="str">
        <f>TRIM(LOWER(tblMapping[[#This Row],[Account]]))</f>
        <v>packaging</v>
      </c>
    </row>
    <row r="8" spans="1:5" x14ac:dyDescent="0.25">
      <c r="A8" s="6" t="s">
        <v>21</v>
      </c>
      <c r="B8" s="9" t="s">
        <v>51</v>
      </c>
      <c r="C8" s="9" t="s">
        <v>45</v>
      </c>
      <c r="D8" s="6" t="s">
        <v>52</v>
      </c>
      <c r="E8" s="8" t="str">
        <f>TRIM(LOWER(tblMapping[[#This Row],[Account]]))</f>
        <v>freight inwards</v>
      </c>
    </row>
    <row r="9" spans="1:5" x14ac:dyDescent="0.25">
      <c r="A9" s="6" t="s">
        <v>22</v>
      </c>
      <c r="B9" s="9" t="s">
        <v>53</v>
      </c>
      <c r="C9" s="9" t="s">
        <v>45</v>
      </c>
      <c r="D9" s="6" t="s">
        <v>54</v>
      </c>
      <c r="E9" s="8" t="str">
        <f>TRIM(LOWER(tblMapping[[#This Row],[Account]]))</f>
        <v>bakery wages</v>
      </c>
    </row>
    <row r="10" spans="1:5" x14ac:dyDescent="0.25">
      <c r="A10" s="6" t="s">
        <v>23</v>
      </c>
      <c r="B10" s="9" t="s">
        <v>49</v>
      </c>
      <c r="C10" s="9" t="s">
        <v>45</v>
      </c>
      <c r="D10" s="6" t="s">
        <v>50</v>
      </c>
      <c r="E10" s="8" t="str">
        <f>TRIM(LOWER(tblMapping[[#This Row],[Account]]))</f>
        <v>total cost of sales</v>
      </c>
    </row>
    <row r="11" spans="1:5" x14ac:dyDescent="0.25">
      <c r="A11" s="6" t="s">
        <v>24</v>
      </c>
      <c r="B11" s="9" t="s">
        <v>49</v>
      </c>
      <c r="C11" s="9" t="s">
        <v>45</v>
      </c>
      <c r="D11" s="6" t="s">
        <v>50</v>
      </c>
      <c r="E11" s="8" t="str">
        <f>TRIM(LOWER(tblMapping[[#This Row],[Account]]))</f>
        <v>gross profit</v>
      </c>
    </row>
    <row r="12" spans="1:5" x14ac:dyDescent="0.25">
      <c r="A12" s="6" t="s">
        <v>25</v>
      </c>
      <c r="B12" s="9" t="s">
        <v>55</v>
      </c>
      <c r="C12" s="9" t="s">
        <v>45</v>
      </c>
      <c r="D12" s="6" t="s">
        <v>56</v>
      </c>
      <c r="E12" s="8" t="str">
        <f>TRIM(LOWER(tblMapping[[#This Row],[Account]]))</f>
        <v>accounting fees</v>
      </c>
    </row>
    <row r="13" spans="1:5" x14ac:dyDescent="0.25">
      <c r="A13" s="6" t="s">
        <v>26</v>
      </c>
      <c r="B13" s="9" t="s">
        <v>55</v>
      </c>
      <c r="C13" s="9" t="s">
        <v>45</v>
      </c>
      <c r="D13" s="6" t="s">
        <v>56</v>
      </c>
      <c r="E13" s="8" t="str">
        <f>TRIM(LOWER(tblMapping[[#This Row],[Account]]))</f>
        <v>advertising</v>
      </c>
    </row>
    <row r="14" spans="1:5" x14ac:dyDescent="0.25">
      <c r="A14" s="6" t="s">
        <v>27</v>
      </c>
      <c r="B14" s="9" t="s">
        <v>55</v>
      </c>
      <c r="C14" s="9" t="s">
        <v>45</v>
      </c>
      <c r="D14" s="6" t="s">
        <v>56</v>
      </c>
      <c r="E14" s="8" t="str">
        <f>TRIM(LOWER(tblMapping[[#This Row],[Account]]))</f>
        <v>bank fees</v>
      </c>
    </row>
    <row r="15" spans="1:5" x14ac:dyDescent="0.25">
      <c r="A15" s="6" t="s">
        <v>28</v>
      </c>
      <c r="B15" s="9" t="s">
        <v>57</v>
      </c>
      <c r="C15" s="9" t="s">
        <v>45</v>
      </c>
      <c r="D15" s="6" t="s">
        <v>58</v>
      </c>
      <c r="E15" s="8" t="str">
        <f>TRIM(LOWER(tblMapping[[#This Row],[Account]]))</f>
        <v>cleaning contractor</v>
      </c>
    </row>
    <row r="16" spans="1:5" x14ac:dyDescent="0.25">
      <c r="A16" s="6" t="s">
        <v>29</v>
      </c>
      <c r="B16" s="9" t="s">
        <v>55</v>
      </c>
      <c r="C16" s="9" t="s">
        <v>45</v>
      </c>
      <c r="D16" s="6" t="s">
        <v>56</v>
      </c>
      <c r="E16" s="8" t="str">
        <f>TRIM(LOWER(tblMapping[[#This Row],[Account]]))</f>
        <v>depreciation</v>
      </c>
    </row>
    <row r="17" spans="1:5" x14ac:dyDescent="0.25">
      <c r="A17" s="6" t="s">
        <v>30</v>
      </c>
      <c r="B17" s="9" t="s">
        <v>55</v>
      </c>
      <c r="C17" s="9" t="s">
        <v>45</v>
      </c>
      <c r="D17" s="6" t="s">
        <v>56</v>
      </c>
      <c r="E17" s="8" t="str">
        <f>TRIM(LOWER(tblMapping[[#This Row],[Account]]))</f>
        <v>electricity</v>
      </c>
    </row>
    <row r="18" spans="1:5" x14ac:dyDescent="0.25">
      <c r="A18" s="6" t="s">
        <v>31</v>
      </c>
      <c r="B18" s="9" t="s">
        <v>55</v>
      </c>
      <c r="C18" s="9" t="s">
        <v>45</v>
      </c>
      <c r="D18" s="6" t="s">
        <v>56</v>
      </c>
      <c r="E18" s="8" t="str">
        <f>TRIM(LOWER(tblMapping[[#This Row],[Account]]))</f>
        <v>insurance</v>
      </c>
    </row>
    <row r="19" spans="1:5" x14ac:dyDescent="0.25">
      <c r="A19" s="6" t="s">
        <v>32</v>
      </c>
      <c r="B19" s="9" t="s">
        <v>59</v>
      </c>
      <c r="C19" s="9" t="s">
        <v>45</v>
      </c>
      <c r="D19" s="6" t="s">
        <v>60</v>
      </c>
      <c r="E19" s="8" t="str">
        <f>TRIM(LOWER(tblMapping[[#This Row],[Account]]))</f>
        <v>motor vehicle expenses</v>
      </c>
    </row>
    <row r="20" spans="1:5" x14ac:dyDescent="0.25">
      <c r="A20" s="6" t="s">
        <v>33</v>
      </c>
      <c r="B20" s="9" t="s">
        <v>61</v>
      </c>
      <c r="C20" s="9" t="s">
        <v>45</v>
      </c>
      <c r="D20" s="6" t="s">
        <v>62</v>
      </c>
      <c r="E20" s="8" t="str">
        <f>TRIM(LOWER(tblMapping[[#This Row],[Account]]))</f>
        <v>rent</v>
      </c>
    </row>
    <row r="21" spans="1:5" x14ac:dyDescent="0.25">
      <c r="A21" s="6" t="s">
        <v>34</v>
      </c>
      <c r="B21" s="9" t="s">
        <v>55</v>
      </c>
      <c r="C21" s="9" t="s">
        <v>45</v>
      </c>
      <c r="D21" s="6" t="s">
        <v>56</v>
      </c>
      <c r="E21" s="8" t="str">
        <f>TRIM(LOWER(tblMapping[[#This Row],[Account]]))</f>
        <v>repairs and maintenance</v>
      </c>
    </row>
    <row r="22" spans="1:5" x14ac:dyDescent="0.25">
      <c r="A22" s="6" t="s">
        <v>35</v>
      </c>
      <c r="B22" s="9" t="s">
        <v>63</v>
      </c>
      <c r="C22" s="9" t="s">
        <v>45</v>
      </c>
      <c r="D22" s="6" t="s">
        <v>64</v>
      </c>
      <c r="E22" s="8" t="str">
        <f>TRIM(LOWER(tblMapping[[#This Row],[Account]]))</f>
        <v>shop wages</v>
      </c>
    </row>
    <row r="23" spans="1:5" x14ac:dyDescent="0.25">
      <c r="A23" s="6" t="s">
        <v>36</v>
      </c>
      <c r="B23" s="9" t="s">
        <v>55</v>
      </c>
      <c r="C23" s="9" t="s">
        <v>45</v>
      </c>
      <c r="D23" s="6" t="s">
        <v>65</v>
      </c>
      <c r="E23" s="8" t="str">
        <f>TRIM(LOWER(tblMapping[[#This Row],[Account]]))</f>
        <v>superannuation</v>
      </c>
    </row>
    <row r="24" spans="1:5" x14ac:dyDescent="0.25">
      <c r="A24" s="6" t="s">
        <v>37</v>
      </c>
      <c r="B24" s="9" t="s">
        <v>66</v>
      </c>
      <c r="C24" s="9" t="s">
        <v>45</v>
      </c>
      <c r="D24" s="6" t="s">
        <v>67</v>
      </c>
      <c r="E24" s="8" t="str">
        <f>TRIM(LOWER(tblMapping[[#This Row],[Account]]))</f>
        <v>wages - director spouse</v>
      </c>
    </row>
    <row r="25" spans="1:5" x14ac:dyDescent="0.25">
      <c r="A25" s="6" t="s">
        <v>38</v>
      </c>
      <c r="B25" s="9" t="s">
        <v>49</v>
      </c>
      <c r="C25" s="9" t="s">
        <v>45</v>
      </c>
      <c r="D25" s="6" t="s">
        <v>50</v>
      </c>
      <c r="E25" s="8" t="str">
        <f>TRIM(LOWER(tblMapping[[#This Row],[Account]]))</f>
        <v>total operating expenses</v>
      </c>
    </row>
    <row r="26" spans="1:5" x14ac:dyDescent="0.25">
      <c r="A26" s="6" t="s">
        <v>39</v>
      </c>
      <c r="B26" s="9" t="s">
        <v>49</v>
      </c>
      <c r="C26" s="9" t="s">
        <v>45</v>
      </c>
      <c r="D26" s="6" t="s">
        <v>50</v>
      </c>
      <c r="E26" s="8" t="str">
        <f>TRIM(LOWER(tblMapping[[#This Row],[Account]]))</f>
        <v>net profit before tax</v>
      </c>
    </row>
    <row r="27" spans="1:5" x14ac:dyDescent="0.25">
      <c r="A27" s="6" t="s">
        <v>40</v>
      </c>
      <c r="B27" s="9" t="s">
        <v>49</v>
      </c>
      <c r="C27" s="9" t="s">
        <v>45</v>
      </c>
      <c r="D27" s="6" t="s">
        <v>68</v>
      </c>
      <c r="E27" s="8" t="str">
        <f>TRIM(LOWER(tblMapping[[#This Row],[Account]]))</f>
        <v>income tax expense</v>
      </c>
    </row>
    <row r="28" spans="1:5" x14ac:dyDescent="0.25">
      <c r="A28" s="6" t="s">
        <v>41</v>
      </c>
      <c r="B28" s="9" t="s">
        <v>49</v>
      </c>
      <c r="C28" s="9" t="s">
        <v>45</v>
      </c>
      <c r="D28" s="6" t="s">
        <v>50</v>
      </c>
      <c r="E28" s="8" t="str">
        <f>TRIM(LOWER(tblMapping[[#This Row],[Account]]))</f>
        <v>net profit</v>
      </c>
    </row>
  </sheetData>
  <dataValidations count="2">
    <dataValidation type="list" sqref="B2:B228" xr:uid="{00000000-0002-0000-0200-000000000000}">
      <formula1>"turnover,other_income,cost_of_sales,cost_of_sales_labour,salary_wages,contractor_commission,associated_persons,rent,motor_vehicle,other_expense,excluded"</formula1>
    </dataValidation>
    <dataValidation type="list" sqref="C2:C228" xr:uid="{00000000-0002-0000-0200-000001000000}">
      <formula1>"suggested,reviewed"</formula1>
    </dataValidation>
  </dataValidations>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593"/>
  <sheetViews>
    <sheetView workbookViewId="0"/>
  </sheetViews>
  <sheetFormatPr defaultRowHeight="15" x14ac:dyDescent="0.25"/>
  <cols>
    <col min="2" max="2" width="48" customWidth="1"/>
    <col min="5" max="5" width="26" customWidth="1"/>
    <col min="21" max="21" width="40" customWidth="1"/>
    <col min="24" max="24" width="48" customWidth="1"/>
  </cols>
  <sheetData>
    <row r="1" spans="1:24" x14ac:dyDescent="0.25">
      <c r="A1" s="5" t="s">
        <v>69</v>
      </c>
      <c r="B1" s="5" t="s">
        <v>70</v>
      </c>
      <c r="C1" s="5" t="s">
        <v>71</v>
      </c>
      <c r="D1" s="5" t="s">
        <v>72</v>
      </c>
      <c r="E1" s="5" t="s">
        <v>73</v>
      </c>
      <c r="F1" s="5" t="s">
        <v>74</v>
      </c>
      <c r="G1" s="5" t="s">
        <v>75</v>
      </c>
      <c r="H1" s="5" t="s">
        <v>76</v>
      </c>
      <c r="I1" s="5" t="s">
        <v>77</v>
      </c>
      <c r="J1" s="5" t="s">
        <v>78</v>
      </c>
      <c r="K1" s="5" t="s">
        <v>79</v>
      </c>
      <c r="L1" s="5" t="s">
        <v>80</v>
      </c>
      <c r="M1" s="5" t="s">
        <v>81</v>
      </c>
      <c r="N1" s="5" t="s">
        <v>82</v>
      </c>
      <c r="O1" s="5" t="s">
        <v>83</v>
      </c>
      <c r="P1" s="5" t="s">
        <v>84</v>
      </c>
      <c r="Q1" s="5" t="s">
        <v>85</v>
      </c>
      <c r="R1" s="5" t="s">
        <v>86</v>
      </c>
      <c r="S1" s="5" t="s">
        <v>87</v>
      </c>
      <c r="T1" s="5" t="s">
        <v>88</v>
      </c>
      <c r="U1" s="5" t="s">
        <v>89</v>
      </c>
      <c r="V1" s="5" t="s">
        <v>90</v>
      </c>
      <c r="X1" s="5" t="s">
        <v>91</v>
      </c>
    </row>
    <row r="2" spans="1:24" x14ac:dyDescent="0.25">
      <c r="A2" t="s">
        <v>92</v>
      </c>
      <c r="B2" t="s">
        <v>93</v>
      </c>
      <c r="C2" t="s">
        <v>94</v>
      </c>
      <c r="D2" t="s">
        <v>95</v>
      </c>
      <c r="E2" t="s">
        <v>96</v>
      </c>
      <c r="F2">
        <v>50000</v>
      </c>
      <c r="G2" t="s">
        <v>97</v>
      </c>
      <c r="H2">
        <v>150000</v>
      </c>
      <c r="K2">
        <v>0.54</v>
      </c>
      <c r="L2">
        <v>0.73</v>
      </c>
      <c r="M2" t="s">
        <v>98</v>
      </c>
      <c r="N2" t="s">
        <v>99</v>
      </c>
      <c r="X2" t="s">
        <v>93</v>
      </c>
    </row>
    <row r="3" spans="1:24" x14ac:dyDescent="0.25">
      <c r="A3" t="s">
        <v>92</v>
      </c>
      <c r="B3" t="s">
        <v>93</v>
      </c>
      <c r="C3" t="s">
        <v>94</v>
      </c>
      <c r="D3" t="s">
        <v>100</v>
      </c>
      <c r="E3" t="s">
        <v>101</v>
      </c>
      <c r="F3">
        <v>150000</v>
      </c>
      <c r="G3" t="s">
        <v>102</v>
      </c>
      <c r="H3">
        <v>600000</v>
      </c>
      <c r="K3">
        <v>0.66</v>
      </c>
      <c r="L3">
        <v>0.8</v>
      </c>
      <c r="M3" t="s">
        <v>98</v>
      </c>
      <c r="N3" t="s">
        <v>99</v>
      </c>
      <c r="X3" t="s">
        <v>103</v>
      </c>
    </row>
    <row r="4" spans="1:24" x14ac:dyDescent="0.25">
      <c r="A4" t="s">
        <v>92</v>
      </c>
      <c r="B4" t="s">
        <v>93</v>
      </c>
      <c r="C4" t="s">
        <v>94</v>
      </c>
      <c r="D4" t="s">
        <v>104</v>
      </c>
      <c r="E4" t="s">
        <v>105</v>
      </c>
      <c r="F4">
        <v>600000</v>
      </c>
      <c r="G4" t="s">
        <v>102</v>
      </c>
      <c r="K4">
        <v>0.81</v>
      </c>
      <c r="L4">
        <v>0.9</v>
      </c>
      <c r="M4" t="s">
        <v>98</v>
      </c>
      <c r="N4" t="s">
        <v>99</v>
      </c>
      <c r="X4" t="s">
        <v>106</v>
      </c>
    </row>
    <row r="5" spans="1:24" x14ac:dyDescent="0.25">
      <c r="A5" t="s">
        <v>92</v>
      </c>
      <c r="B5" t="s">
        <v>103</v>
      </c>
      <c r="C5" t="s">
        <v>94</v>
      </c>
      <c r="D5" t="s">
        <v>95</v>
      </c>
      <c r="E5" t="s">
        <v>96</v>
      </c>
      <c r="F5">
        <v>50000</v>
      </c>
      <c r="G5" t="s">
        <v>97</v>
      </c>
      <c r="H5">
        <v>150000</v>
      </c>
      <c r="K5">
        <v>0.53</v>
      </c>
      <c r="L5">
        <v>0.7</v>
      </c>
      <c r="M5" t="s">
        <v>98</v>
      </c>
      <c r="N5" t="s">
        <v>99</v>
      </c>
      <c r="X5" t="s">
        <v>107</v>
      </c>
    </row>
    <row r="6" spans="1:24" x14ac:dyDescent="0.25">
      <c r="A6" t="s">
        <v>92</v>
      </c>
      <c r="B6" t="s">
        <v>103</v>
      </c>
      <c r="C6" t="s">
        <v>94</v>
      </c>
      <c r="D6" t="s">
        <v>100</v>
      </c>
      <c r="E6" t="s">
        <v>101</v>
      </c>
      <c r="F6">
        <v>150000</v>
      </c>
      <c r="G6" t="s">
        <v>102</v>
      </c>
      <c r="H6">
        <v>600000</v>
      </c>
      <c r="K6">
        <v>0.62</v>
      </c>
      <c r="L6">
        <v>0.77</v>
      </c>
      <c r="M6" t="s">
        <v>98</v>
      </c>
      <c r="N6" t="s">
        <v>99</v>
      </c>
      <c r="X6" t="s">
        <v>108</v>
      </c>
    </row>
    <row r="7" spans="1:24" x14ac:dyDescent="0.25">
      <c r="A7" t="s">
        <v>92</v>
      </c>
      <c r="B7" t="s">
        <v>103</v>
      </c>
      <c r="C7" t="s">
        <v>94</v>
      </c>
      <c r="D7" t="s">
        <v>104</v>
      </c>
      <c r="E7" t="s">
        <v>105</v>
      </c>
      <c r="F7">
        <v>600000</v>
      </c>
      <c r="G7" t="s">
        <v>102</v>
      </c>
      <c r="K7">
        <v>0.77</v>
      </c>
      <c r="L7">
        <v>0.88</v>
      </c>
      <c r="M7" t="s">
        <v>98</v>
      </c>
      <c r="N7" t="s">
        <v>99</v>
      </c>
      <c r="X7" t="s">
        <v>109</v>
      </c>
    </row>
    <row r="8" spans="1:24" x14ac:dyDescent="0.25">
      <c r="A8" t="s">
        <v>92</v>
      </c>
      <c r="B8" t="s">
        <v>106</v>
      </c>
      <c r="C8" t="s">
        <v>94</v>
      </c>
      <c r="D8" t="s">
        <v>95</v>
      </c>
      <c r="E8" t="s">
        <v>110</v>
      </c>
      <c r="F8">
        <v>105000</v>
      </c>
      <c r="G8" t="s">
        <v>97</v>
      </c>
      <c r="H8">
        <v>195000</v>
      </c>
      <c r="K8">
        <v>0.28999999999999998</v>
      </c>
      <c r="L8">
        <v>0.54</v>
      </c>
      <c r="M8" t="s">
        <v>98</v>
      </c>
      <c r="N8" t="s">
        <v>99</v>
      </c>
      <c r="X8" t="s">
        <v>111</v>
      </c>
    </row>
    <row r="9" spans="1:24" x14ac:dyDescent="0.25">
      <c r="A9" t="s">
        <v>92</v>
      </c>
      <c r="B9" t="s">
        <v>106</v>
      </c>
      <c r="C9" t="s">
        <v>94</v>
      </c>
      <c r="D9" t="s">
        <v>100</v>
      </c>
      <c r="E9" t="s">
        <v>112</v>
      </c>
      <c r="F9">
        <v>195000</v>
      </c>
      <c r="G9" t="s">
        <v>102</v>
      </c>
      <c r="H9">
        <v>400000</v>
      </c>
      <c r="K9">
        <v>0.4</v>
      </c>
      <c r="L9">
        <v>0.65</v>
      </c>
      <c r="M9" t="s">
        <v>98</v>
      </c>
      <c r="N9" t="s">
        <v>99</v>
      </c>
      <c r="X9" t="s">
        <v>113</v>
      </c>
    </row>
    <row r="10" spans="1:24" x14ac:dyDescent="0.25">
      <c r="A10" t="s">
        <v>92</v>
      </c>
      <c r="B10" t="s">
        <v>106</v>
      </c>
      <c r="C10" t="s">
        <v>94</v>
      </c>
      <c r="D10" t="s">
        <v>104</v>
      </c>
      <c r="E10" t="s">
        <v>114</v>
      </c>
      <c r="F10">
        <v>400000</v>
      </c>
      <c r="G10" t="s">
        <v>102</v>
      </c>
      <c r="K10">
        <v>0.62</v>
      </c>
      <c r="L10">
        <v>0.79</v>
      </c>
      <c r="M10" t="s">
        <v>98</v>
      </c>
      <c r="N10" t="s">
        <v>99</v>
      </c>
      <c r="X10" t="s">
        <v>115</v>
      </c>
    </row>
    <row r="11" spans="1:24" x14ac:dyDescent="0.25">
      <c r="A11" t="s">
        <v>92</v>
      </c>
      <c r="B11" t="s">
        <v>107</v>
      </c>
      <c r="C11" t="s">
        <v>116</v>
      </c>
      <c r="D11" t="s">
        <v>95</v>
      </c>
      <c r="E11" t="s">
        <v>117</v>
      </c>
      <c r="F11">
        <v>50000</v>
      </c>
      <c r="G11" t="s">
        <v>97</v>
      </c>
      <c r="H11">
        <v>250000</v>
      </c>
      <c r="I11">
        <v>0.3</v>
      </c>
      <c r="J11">
        <v>0.42</v>
      </c>
      <c r="K11">
        <v>0.6</v>
      </c>
      <c r="L11">
        <v>0.74</v>
      </c>
      <c r="M11" t="s">
        <v>98</v>
      </c>
      <c r="N11" t="s">
        <v>99</v>
      </c>
      <c r="X11" t="s">
        <v>118</v>
      </c>
    </row>
    <row r="12" spans="1:24" x14ac:dyDescent="0.25">
      <c r="A12" t="s">
        <v>92</v>
      </c>
      <c r="B12" t="s">
        <v>107</v>
      </c>
      <c r="C12" t="s">
        <v>116</v>
      </c>
      <c r="D12" t="s">
        <v>100</v>
      </c>
      <c r="E12" t="s">
        <v>119</v>
      </c>
      <c r="F12">
        <v>250000</v>
      </c>
      <c r="G12" t="s">
        <v>102</v>
      </c>
      <c r="H12">
        <v>750000</v>
      </c>
      <c r="I12">
        <v>0.35</v>
      </c>
      <c r="J12">
        <v>0.44</v>
      </c>
      <c r="K12">
        <v>0.68</v>
      </c>
      <c r="L12">
        <v>0.82</v>
      </c>
      <c r="M12" t="s">
        <v>98</v>
      </c>
      <c r="N12" t="s">
        <v>99</v>
      </c>
      <c r="X12" t="s">
        <v>120</v>
      </c>
    </row>
    <row r="13" spans="1:24" x14ac:dyDescent="0.25">
      <c r="A13" t="s">
        <v>92</v>
      </c>
      <c r="B13" t="s">
        <v>107</v>
      </c>
      <c r="C13" t="s">
        <v>116</v>
      </c>
      <c r="D13" t="s">
        <v>104</v>
      </c>
      <c r="E13" t="s">
        <v>121</v>
      </c>
      <c r="F13">
        <v>750000</v>
      </c>
      <c r="G13" t="s">
        <v>102</v>
      </c>
      <c r="I13">
        <v>0.38</v>
      </c>
      <c r="J13">
        <v>0.46</v>
      </c>
      <c r="K13">
        <v>0.79</v>
      </c>
      <c r="L13">
        <v>0.88</v>
      </c>
      <c r="M13" t="s">
        <v>98</v>
      </c>
      <c r="N13" t="s">
        <v>99</v>
      </c>
      <c r="X13" t="s">
        <v>122</v>
      </c>
    </row>
    <row r="14" spans="1:24" x14ac:dyDescent="0.25">
      <c r="A14" t="s">
        <v>92</v>
      </c>
      <c r="B14" t="s">
        <v>108</v>
      </c>
      <c r="C14" t="s">
        <v>116</v>
      </c>
      <c r="D14" t="s">
        <v>95</v>
      </c>
      <c r="E14" t="s">
        <v>123</v>
      </c>
      <c r="F14">
        <v>65000</v>
      </c>
      <c r="G14" t="s">
        <v>97</v>
      </c>
      <c r="H14">
        <v>400000</v>
      </c>
      <c r="I14">
        <v>0.3</v>
      </c>
      <c r="J14">
        <v>0.38</v>
      </c>
      <c r="K14">
        <v>0.7</v>
      </c>
      <c r="L14">
        <v>0.82</v>
      </c>
      <c r="M14" t="s">
        <v>98</v>
      </c>
      <c r="N14" t="s">
        <v>99</v>
      </c>
      <c r="X14" t="s">
        <v>124</v>
      </c>
    </row>
    <row r="15" spans="1:24" x14ac:dyDescent="0.25">
      <c r="A15" t="s">
        <v>92</v>
      </c>
      <c r="B15" t="s">
        <v>108</v>
      </c>
      <c r="C15" t="s">
        <v>116</v>
      </c>
      <c r="D15" t="s">
        <v>100</v>
      </c>
      <c r="E15" t="s">
        <v>125</v>
      </c>
      <c r="F15">
        <v>400000</v>
      </c>
      <c r="G15" t="s">
        <v>102</v>
      </c>
      <c r="H15">
        <v>750000</v>
      </c>
      <c r="I15">
        <v>0.34</v>
      </c>
      <c r="J15">
        <v>0.39</v>
      </c>
      <c r="K15">
        <v>0.76</v>
      </c>
      <c r="L15">
        <v>0.86</v>
      </c>
      <c r="M15" t="s">
        <v>98</v>
      </c>
      <c r="N15" t="s">
        <v>99</v>
      </c>
      <c r="X15" t="s">
        <v>126</v>
      </c>
    </row>
    <row r="16" spans="1:24" x14ac:dyDescent="0.25">
      <c r="A16" t="s">
        <v>92</v>
      </c>
      <c r="B16" t="s">
        <v>108</v>
      </c>
      <c r="C16" t="s">
        <v>116</v>
      </c>
      <c r="D16" t="s">
        <v>104</v>
      </c>
      <c r="E16" t="s">
        <v>121</v>
      </c>
      <c r="F16">
        <v>750000</v>
      </c>
      <c r="G16" t="s">
        <v>102</v>
      </c>
      <c r="I16">
        <v>0.3</v>
      </c>
      <c r="J16">
        <v>0.36</v>
      </c>
      <c r="K16">
        <v>0.82</v>
      </c>
      <c r="L16">
        <v>0.9</v>
      </c>
      <c r="M16" t="s">
        <v>98</v>
      </c>
      <c r="N16" t="s">
        <v>99</v>
      </c>
      <c r="X16" t="s">
        <v>127</v>
      </c>
    </row>
    <row r="17" spans="1:24" x14ac:dyDescent="0.25">
      <c r="A17" t="s">
        <v>92</v>
      </c>
      <c r="B17" t="s">
        <v>109</v>
      </c>
      <c r="C17" t="s">
        <v>94</v>
      </c>
      <c r="D17" t="s">
        <v>95</v>
      </c>
      <c r="E17" t="s">
        <v>128</v>
      </c>
      <c r="F17">
        <v>65000</v>
      </c>
      <c r="G17" t="s">
        <v>97</v>
      </c>
      <c r="H17">
        <v>150000</v>
      </c>
      <c r="K17">
        <v>0.43</v>
      </c>
      <c r="L17">
        <v>0.62</v>
      </c>
      <c r="M17" t="s">
        <v>98</v>
      </c>
      <c r="N17" t="s">
        <v>99</v>
      </c>
      <c r="X17" t="s">
        <v>129</v>
      </c>
    </row>
    <row r="18" spans="1:24" x14ac:dyDescent="0.25">
      <c r="A18" t="s">
        <v>92</v>
      </c>
      <c r="B18" t="s">
        <v>109</v>
      </c>
      <c r="C18" t="s">
        <v>94</v>
      </c>
      <c r="D18" t="s">
        <v>100</v>
      </c>
      <c r="E18" t="s">
        <v>130</v>
      </c>
      <c r="F18">
        <v>150000</v>
      </c>
      <c r="G18" t="s">
        <v>102</v>
      </c>
      <c r="K18">
        <v>0.67</v>
      </c>
      <c r="L18">
        <v>0.82</v>
      </c>
      <c r="M18" t="s">
        <v>98</v>
      </c>
      <c r="N18" t="s">
        <v>99</v>
      </c>
      <c r="X18" t="s">
        <v>131</v>
      </c>
    </row>
    <row r="19" spans="1:24" x14ac:dyDescent="0.25">
      <c r="A19" t="s">
        <v>92</v>
      </c>
      <c r="B19" t="s">
        <v>111</v>
      </c>
      <c r="C19" t="s">
        <v>94</v>
      </c>
      <c r="D19" t="s">
        <v>95</v>
      </c>
      <c r="E19" t="s">
        <v>132</v>
      </c>
      <c r="F19">
        <v>65000</v>
      </c>
      <c r="G19" t="s">
        <v>97</v>
      </c>
      <c r="H19">
        <v>200000</v>
      </c>
      <c r="K19">
        <v>0.49</v>
      </c>
      <c r="L19">
        <v>0.69</v>
      </c>
      <c r="M19" t="s">
        <v>98</v>
      </c>
      <c r="N19" t="s">
        <v>99</v>
      </c>
      <c r="X19" t="s">
        <v>133</v>
      </c>
    </row>
    <row r="20" spans="1:24" x14ac:dyDescent="0.25">
      <c r="A20" t="s">
        <v>92</v>
      </c>
      <c r="B20" t="s">
        <v>111</v>
      </c>
      <c r="C20" t="s">
        <v>94</v>
      </c>
      <c r="D20" t="s">
        <v>100</v>
      </c>
      <c r="E20" t="s">
        <v>134</v>
      </c>
      <c r="F20">
        <v>200000</v>
      </c>
      <c r="G20" t="s">
        <v>102</v>
      </c>
      <c r="H20">
        <v>400000</v>
      </c>
      <c r="K20">
        <v>0.7</v>
      </c>
      <c r="L20">
        <v>0.83</v>
      </c>
      <c r="M20" t="s">
        <v>98</v>
      </c>
      <c r="N20" t="s">
        <v>99</v>
      </c>
      <c r="X20" t="s">
        <v>135</v>
      </c>
    </row>
    <row r="21" spans="1:24" x14ac:dyDescent="0.25">
      <c r="A21" t="s">
        <v>92</v>
      </c>
      <c r="B21" t="s">
        <v>111</v>
      </c>
      <c r="C21" t="s">
        <v>94</v>
      </c>
      <c r="D21" t="s">
        <v>104</v>
      </c>
      <c r="E21" t="s">
        <v>114</v>
      </c>
      <c r="F21">
        <v>400000</v>
      </c>
      <c r="G21" t="s">
        <v>102</v>
      </c>
      <c r="K21">
        <v>0.76</v>
      </c>
      <c r="L21">
        <v>0.88</v>
      </c>
      <c r="M21" t="s">
        <v>98</v>
      </c>
      <c r="N21" t="s">
        <v>99</v>
      </c>
      <c r="X21" t="s">
        <v>136</v>
      </c>
    </row>
    <row r="22" spans="1:24" x14ac:dyDescent="0.25">
      <c r="A22" t="s">
        <v>92</v>
      </c>
      <c r="B22" t="s">
        <v>113</v>
      </c>
      <c r="C22" t="s">
        <v>94</v>
      </c>
      <c r="D22" t="s">
        <v>95</v>
      </c>
      <c r="E22" t="s">
        <v>137</v>
      </c>
      <c r="F22">
        <v>75000</v>
      </c>
      <c r="G22" t="s">
        <v>97</v>
      </c>
      <c r="H22">
        <v>155000</v>
      </c>
      <c r="K22">
        <v>0.4</v>
      </c>
      <c r="L22">
        <v>0.6</v>
      </c>
      <c r="M22" t="s">
        <v>98</v>
      </c>
      <c r="N22" t="s">
        <v>99</v>
      </c>
      <c r="X22" t="s">
        <v>138</v>
      </c>
    </row>
    <row r="23" spans="1:24" x14ac:dyDescent="0.25">
      <c r="A23" t="s">
        <v>92</v>
      </c>
      <c r="B23" t="s">
        <v>113</v>
      </c>
      <c r="C23" t="s">
        <v>94</v>
      </c>
      <c r="D23" t="s">
        <v>100</v>
      </c>
      <c r="E23" t="s">
        <v>139</v>
      </c>
      <c r="F23">
        <v>155000</v>
      </c>
      <c r="G23" t="s">
        <v>102</v>
      </c>
      <c r="H23">
        <v>500000</v>
      </c>
      <c r="K23">
        <v>0.6</v>
      </c>
      <c r="L23">
        <v>0.74</v>
      </c>
      <c r="M23" t="s">
        <v>98</v>
      </c>
      <c r="N23" t="s">
        <v>99</v>
      </c>
      <c r="X23" t="s">
        <v>140</v>
      </c>
    </row>
    <row r="24" spans="1:24" x14ac:dyDescent="0.25">
      <c r="A24" t="s">
        <v>92</v>
      </c>
      <c r="B24" t="s">
        <v>113</v>
      </c>
      <c r="C24" t="s">
        <v>94</v>
      </c>
      <c r="D24" t="s">
        <v>104</v>
      </c>
      <c r="E24" t="s">
        <v>141</v>
      </c>
      <c r="F24">
        <v>500000</v>
      </c>
      <c r="G24" t="s">
        <v>102</v>
      </c>
      <c r="K24">
        <v>0.79</v>
      </c>
      <c r="L24">
        <v>0.88</v>
      </c>
      <c r="M24" t="s">
        <v>98</v>
      </c>
      <c r="N24" t="s">
        <v>99</v>
      </c>
      <c r="X24" t="s">
        <v>142</v>
      </c>
    </row>
    <row r="25" spans="1:24" x14ac:dyDescent="0.25">
      <c r="A25" t="s">
        <v>92</v>
      </c>
      <c r="B25" t="s">
        <v>115</v>
      </c>
      <c r="C25" t="s">
        <v>116</v>
      </c>
      <c r="D25" t="s">
        <v>95</v>
      </c>
      <c r="E25" t="s">
        <v>143</v>
      </c>
      <c r="F25">
        <v>65000</v>
      </c>
      <c r="G25" t="s">
        <v>97</v>
      </c>
      <c r="H25">
        <v>250000</v>
      </c>
      <c r="I25">
        <v>0.28999999999999998</v>
      </c>
      <c r="J25">
        <v>0.53</v>
      </c>
      <c r="K25">
        <v>0.69</v>
      </c>
      <c r="L25">
        <v>0.82</v>
      </c>
      <c r="M25" t="s">
        <v>98</v>
      </c>
      <c r="N25" t="s">
        <v>99</v>
      </c>
      <c r="X25" t="s">
        <v>144</v>
      </c>
    </row>
    <row r="26" spans="1:24" x14ac:dyDescent="0.25">
      <c r="A26" t="s">
        <v>92</v>
      </c>
      <c r="B26" t="s">
        <v>115</v>
      </c>
      <c r="C26" t="s">
        <v>116</v>
      </c>
      <c r="D26" t="s">
        <v>100</v>
      </c>
      <c r="E26" t="s">
        <v>119</v>
      </c>
      <c r="F26">
        <v>250000</v>
      </c>
      <c r="G26" t="s">
        <v>102</v>
      </c>
      <c r="H26">
        <v>750000</v>
      </c>
      <c r="I26">
        <v>0.47</v>
      </c>
      <c r="J26">
        <v>0.56999999999999995</v>
      </c>
      <c r="K26">
        <v>0.79</v>
      </c>
      <c r="L26">
        <v>0.86</v>
      </c>
      <c r="M26" t="s">
        <v>98</v>
      </c>
      <c r="N26" t="s">
        <v>99</v>
      </c>
      <c r="X26" t="s">
        <v>145</v>
      </c>
    </row>
    <row r="27" spans="1:24" x14ac:dyDescent="0.25">
      <c r="A27" t="s">
        <v>92</v>
      </c>
      <c r="B27" t="s">
        <v>115</v>
      </c>
      <c r="C27" t="s">
        <v>116</v>
      </c>
      <c r="D27" t="s">
        <v>104</v>
      </c>
      <c r="E27" t="s">
        <v>121</v>
      </c>
      <c r="F27">
        <v>750000</v>
      </c>
      <c r="G27" t="s">
        <v>102</v>
      </c>
      <c r="I27">
        <v>0.52</v>
      </c>
      <c r="J27">
        <v>0.56000000000000005</v>
      </c>
      <c r="K27">
        <v>0.85</v>
      </c>
      <c r="L27">
        <v>0.93</v>
      </c>
      <c r="M27" t="s">
        <v>98</v>
      </c>
      <c r="N27" t="s">
        <v>99</v>
      </c>
      <c r="X27" t="s">
        <v>146</v>
      </c>
    </row>
    <row r="28" spans="1:24" x14ac:dyDescent="0.25">
      <c r="A28" t="s">
        <v>92</v>
      </c>
      <c r="B28" t="s">
        <v>118</v>
      </c>
      <c r="C28" t="s">
        <v>116</v>
      </c>
      <c r="D28" t="s">
        <v>95</v>
      </c>
      <c r="E28" t="s">
        <v>147</v>
      </c>
      <c r="F28">
        <v>65000</v>
      </c>
      <c r="G28" t="s">
        <v>97</v>
      </c>
      <c r="H28">
        <v>500000</v>
      </c>
      <c r="I28">
        <v>0.62</v>
      </c>
      <c r="J28">
        <v>0.74</v>
      </c>
      <c r="K28">
        <v>0.78</v>
      </c>
      <c r="L28">
        <v>0.9</v>
      </c>
      <c r="M28" t="s">
        <v>98</v>
      </c>
      <c r="N28" t="s">
        <v>99</v>
      </c>
      <c r="X28" t="s">
        <v>148</v>
      </c>
    </row>
    <row r="29" spans="1:24" x14ac:dyDescent="0.25">
      <c r="A29" t="s">
        <v>92</v>
      </c>
      <c r="B29" t="s">
        <v>118</v>
      </c>
      <c r="C29" t="s">
        <v>116</v>
      </c>
      <c r="D29" t="s">
        <v>100</v>
      </c>
      <c r="E29" t="s">
        <v>149</v>
      </c>
      <c r="F29">
        <v>500000</v>
      </c>
      <c r="G29" t="s">
        <v>102</v>
      </c>
      <c r="H29">
        <v>2000000</v>
      </c>
      <c r="I29">
        <v>0.7</v>
      </c>
      <c r="J29">
        <v>0.77</v>
      </c>
      <c r="K29">
        <v>0.9</v>
      </c>
      <c r="L29">
        <v>0.95</v>
      </c>
      <c r="M29" t="s">
        <v>98</v>
      </c>
      <c r="N29" t="s">
        <v>99</v>
      </c>
      <c r="X29" t="s">
        <v>150</v>
      </c>
    </row>
    <row r="30" spans="1:24" x14ac:dyDescent="0.25">
      <c r="A30" t="s">
        <v>92</v>
      </c>
      <c r="B30" t="s">
        <v>118</v>
      </c>
      <c r="C30" t="s">
        <v>116</v>
      </c>
      <c r="D30" t="s">
        <v>104</v>
      </c>
      <c r="E30" t="s">
        <v>151</v>
      </c>
      <c r="F30">
        <v>2000000</v>
      </c>
      <c r="G30" t="s">
        <v>102</v>
      </c>
      <c r="I30">
        <v>0.74</v>
      </c>
      <c r="J30">
        <v>0.78</v>
      </c>
      <c r="K30">
        <v>0.91</v>
      </c>
      <c r="L30">
        <v>0.95</v>
      </c>
      <c r="M30" t="s">
        <v>98</v>
      </c>
      <c r="N30" t="s">
        <v>99</v>
      </c>
      <c r="X30" t="s">
        <v>152</v>
      </c>
    </row>
    <row r="31" spans="1:24" x14ac:dyDescent="0.25">
      <c r="A31" t="s">
        <v>92</v>
      </c>
      <c r="B31" t="s">
        <v>120</v>
      </c>
      <c r="C31" t="s">
        <v>94</v>
      </c>
      <c r="D31" t="s">
        <v>95</v>
      </c>
      <c r="E31" t="s">
        <v>96</v>
      </c>
      <c r="F31">
        <v>50000</v>
      </c>
      <c r="G31" t="s">
        <v>97</v>
      </c>
      <c r="H31">
        <v>150000</v>
      </c>
      <c r="K31">
        <v>0.3</v>
      </c>
      <c r="L31">
        <v>0.48</v>
      </c>
      <c r="M31" t="s">
        <v>98</v>
      </c>
      <c r="N31" t="s">
        <v>99</v>
      </c>
      <c r="X31" t="s">
        <v>153</v>
      </c>
    </row>
    <row r="32" spans="1:24" x14ac:dyDescent="0.25">
      <c r="A32" t="s">
        <v>92</v>
      </c>
      <c r="B32" t="s">
        <v>120</v>
      </c>
      <c r="C32" t="s">
        <v>94</v>
      </c>
      <c r="D32" t="s">
        <v>100</v>
      </c>
      <c r="E32" t="s">
        <v>154</v>
      </c>
      <c r="F32">
        <v>150000</v>
      </c>
      <c r="G32" t="s">
        <v>102</v>
      </c>
      <c r="H32">
        <v>350000</v>
      </c>
      <c r="K32">
        <v>0.52</v>
      </c>
      <c r="L32">
        <v>0.69</v>
      </c>
      <c r="M32" t="s">
        <v>98</v>
      </c>
      <c r="N32" t="s">
        <v>99</v>
      </c>
      <c r="X32" t="s">
        <v>155</v>
      </c>
    </row>
    <row r="33" spans="1:24" x14ac:dyDescent="0.25">
      <c r="A33" t="s">
        <v>92</v>
      </c>
      <c r="B33" t="s">
        <v>120</v>
      </c>
      <c r="C33" t="s">
        <v>94</v>
      </c>
      <c r="D33" t="s">
        <v>104</v>
      </c>
      <c r="E33" t="s">
        <v>156</v>
      </c>
      <c r="F33">
        <v>350000</v>
      </c>
      <c r="G33" t="s">
        <v>102</v>
      </c>
      <c r="K33">
        <v>0.69</v>
      </c>
      <c r="L33">
        <v>0.83</v>
      </c>
      <c r="M33" t="s">
        <v>98</v>
      </c>
      <c r="N33" t="s">
        <v>99</v>
      </c>
      <c r="X33" t="s">
        <v>157</v>
      </c>
    </row>
    <row r="34" spans="1:24" x14ac:dyDescent="0.25">
      <c r="A34" t="s">
        <v>92</v>
      </c>
      <c r="B34" t="s">
        <v>122</v>
      </c>
      <c r="C34" t="s">
        <v>94</v>
      </c>
      <c r="D34" t="s">
        <v>95</v>
      </c>
      <c r="E34" t="s">
        <v>158</v>
      </c>
      <c r="F34">
        <v>100000</v>
      </c>
      <c r="G34" t="s">
        <v>97</v>
      </c>
      <c r="H34">
        <v>300000</v>
      </c>
      <c r="K34">
        <v>0.55000000000000004</v>
      </c>
      <c r="L34">
        <v>0.72</v>
      </c>
      <c r="M34" t="s">
        <v>98</v>
      </c>
      <c r="N34" t="s">
        <v>99</v>
      </c>
      <c r="X34" t="s">
        <v>159</v>
      </c>
    </row>
    <row r="35" spans="1:24" x14ac:dyDescent="0.25">
      <c r="A35" t="s">
        <v>92</v>
      </c>
      <c r="B35" t="s">
        <v>122</v>
      </c>
      <c r="C35" t="s">
        <v>94</v>
      </c>
      <c r="D35" t="s">
        <v>100</v>
      </c>
      <c r="E35" t="s">
        <v>160</v>
      </c>
      <c r="F35">
        <v>300000</v>
      </c>
      <c r="G35" t="s">
        <v>102</v>
      </c>
      <c r="H35">
        <v>900000</v>
      </c>
      <c r="K35">
        <v>0.73</v>
      </c>
      <c r="L35">
        <v>0.84</v>
      </c>
      <c r="M35" t="s">
        <v>98</v>
      </c>
      <c r="N35" t="s">
        <v>99</v>
      </c>
      <c r="X35" t="s">
        <v>161</v>
      </c>
    </row>
    <row r="36" spans="1:24" x14ac:dyDescent="0.25">
      <c r="A36" t="s">
        <v>92</v>
      </c>
      <c r="B36" t="s">
        <v>122</v>
      </c>
      <c r="C36" t="s">
        <v>94</v>
      </c>
      <c r="D36" t="s">
        <v>104</v>
      </c>
      <c r="E36" t="s">
        <v>162</v>
      </c>
      <c r="F36">
        <v>900000</v>
      </c>
      <c r="G36" t="s">
        <v>102</v>
      </c>
      <c r="K36">
        <v>0.83</v>
      </c>
      <c r="L36">
        <v>0.91</v>
      </c>
      <c r="M36" t="s">
        <v>98</v>
      </c>
      <c r="N36" t="s">
        <v>99</v>
      </c>
      <c r="X36" t="s">
        <v>163</v>
      </c>
    </row>
    <row r="37" spans="1:24" x14ac:dyDescent="0.25">
      <c r="A37" t="s">
        <v>92</v>
      </c>
      <c r="B37" t="s">
        <v>124</v>
      </c>
      <c r="C37" t="s">
        <v>116</v>
      </c>
      <c r="D37" t="s">
        <v>95</v>
      </c>
      <c r="E37" t="s">
        <v>164</v>
      </c>
      <c r="F37">
        <v>65000</v>
      </c>
      <c r="G37" t="s">
        <v>97</v>
      </c>
      <c r="H37">
        <v>300000</v>
      </c>
      <c r="I37">
        <v>0.28999999999999998</v>
      </c>
      <c r="J37">
        <v>0.36</v>
      </c>
      <c r="K37">
        <v>0.6</v>
      </c>
      <c r="L37">
        <v>0.76</v>
      </c>
      <c r="M37" t="s">
        <v>98</v>
      </c>
      <c r="N37" t="s">
        <v>99</v>
      </c>
      <c r="X37" t="s">
        <v>165</v>
      </c>
    </row>
    <row r="38" spans="1:24" x14ac:dyDescent="0.25">
      <c r="A38" t="s">
        <v>92</v>
      </c>
      <c r="B38" t="s">
        <v>124</v>
      </c>
      <c r="C38" t="s">
        <v>116</v>
      </c>
      <c r="D38" t="s">
        <v>100</v>
      </c>
      <c r="E38" t="s">
        <v>166</v>
      </c>
      <c r="F38">
        <v>300000</v>
      </c>
      <c r="G38" t="s">
        <v>102</v>
      </c>
      <c r="H38">
        <v>600000</v>
      </c>
      <c r="I38">
        <v>0.31</v>
      </c>
      <c r="J38">
        <v>0.38</v>
      </c>
      <c r="K38">
        <v>0.8</v>
      </c>
      <c r="L38">
        <v>0.89</v>
      </c>
      <c r="M38" t="s">
        <v>98</v>
      </c>
      <c r="N38" t="s">
        <v>99</v>
      </c>
      <c r="X38" t="s">
        <v>167</v>
      </c>
    </row>
    <row r="39" spans="1:24" x14ac:dyDescent="0.25">
      <c r="A39" t="s">
        <v>92</v>
      </c>
      <c r="B39" t="s">
        <v>124</v>
      </c>
      <c r="C39" t="s">
        <v>116</v>
      </c>
      <c r="D39" t="s">
        <v>104</v>
      </c>
      <c r="E39" t="s">
        <v>105</v>
      </c>
      <c r="F39">
        <v>600000</v>
      </c>
      <c r="G39" t="s">
        <v>102</v>
      </c>
      <c r="I39">
        <v>0.31</v>
      </c>
      <c r="J39">
        <v>0.36</v>
      </c>
      <c r="K39">
        <v>0.81</v>
      </c>
      <c r="L39">
        <v>0.9</v>
      </c>
      <c r="M39" t="s">
        <v>98</v>
      </c>
      <c r="N39" t="s">
        <v>99</v>
      </c>
      <c r="X39" t="s">
        <v>168</v>
      </c>
    </row>
    <row r="40" spans="1:24" x14ac:dyDescent="0.25">
      <c r="A40" t="s">
        <v>92</v>
      </c>
      <c r="B40" t="s">
        <v>126</v>
      </c>
      <c r="C40" t="s">
        <v>94</v>
      </c>
      <c r="D40" t="s">
        <v>95</v>
      </c>
      <c r="E40" t="s">
        <v>169</v>
      </c>
      <c r="F40">
        <v>50000</v>
      </c>
      <c r="G40" t="s">
        <v>97</v>
      </c>
      <c r="H40">
        <v>110000</v>
      </c>
      <c r="K40">
        <v>0.32</v>
      </c>
      <c r="L40">
        <v>0.52</v>
      </c>
      <c r="M40" t="s">
        <v>98</v>
      </c>
      <c r="N40" t="s">
        <v>99</v>
      </c>
      <c r="X40" t="s">
        <v>170</v>
      </c>
    </row>
    <row r="41" spans="1:24" x14ac:dyDescent="0.25">
      <c r="A41" t="s">
        <v>92</v>
      </c>
      <c r="B41" t="s">
        <v>126</v>
      </c>
      <c r="C41" t="s">
        <v>94</v>
      </c>
      <c r="D41" t="s">
        <v>100</v>
      </c>
      <c r="E41" t="s">
        <v>171</v>
      </c>
      <c r="F41">
        <v>110000</v>
      </c>
      <c r="G41" t="s">
        <v>102</v>
      </c>
      <c r="H41">
        <v>400000</v>
      </c>
      <c r="K41">
        <v>0.49</v>
      </c>
      <c r="L41">
        <v>0.69</v>
      </c>
      <c r="M41" t="s">
        <v>98</v>
      </c>
      <c r="N41" t="s">
        <v>99</v>
      </c>
      <c r="X41" t="s">
        <v>172</v>
      </c>
    </row>
    <row r="42" spans="1:24" x14ac:dyDescent="0.25">
      <c r="A42" t="s">
        <v>92</v>
      </c>
      <c r="B42" t="s">
        <v>126</v>
      </c>
      <c r="C42" t="s">
        <v>94</v>
      </c>
      <c r="D42" t="s">
        <v>104</v>
      </c>
      <c r="E42" t="s">
        <v>114</v>
      </c>
      <c r="F42">
        <v>400000</v>
      </c>
      <c r="G42" t="s">
        <v>102</v>
      </c>
      <c r="K42">
        <v>0.77</v>
      </c>
      <c r="L42">
        <v>0.88</v>
      </c>
      <c r="M42" t="s">
        <v>98</v>
      </c>
      <c r="N42" t="s">
        <v>99</v>
      </c>
      <c r="X42" t="s">
        <v>173</v>
      </c>
    </row>
    <row r="43" spans="1:24" x14ac:dyDescent="0.25">
      <c r="A43" t="s">
        <v>92</v>
      </c>
      <c r="B43" t="s">
        <v>127</v>
      </c>
      <c r="C43" t="s">
        <v>94</v>
      </c>
      <c r="D43" t="s">
        <v>95</v>
      </c>
      <c r="E43" t="s">
        <v>174</v>
      </c>
      <c r="F43">
        <v>50000</v>
      </c>
      <c r="G43" t="s">
        <v>97</v>
      </c>
      <c r="H43">
        <v>100000</v>
      </c>
      <c r="K43">
        <v>0.33</v>
      </c>
      <c r="L43">
        <v>0.46</v>
      </c>
      <c r="M43" t="s">
        <v>98</v>
      </c>
      <c r="N43" t="s">
        <v>99</v>
      </c>
      <c r="X43" t="s">
        <v>175</v>
      </c>
    </row>
    <row r="44" spans="1:24" x14ac:dyDescent="0.25">
      <c r="A44" t="s">
        <v>92</v>
      </c>
      <c r="B44" t="s">
        <v>127</v>
      </c>
      <c r="C44" t="s">
        <v>94</v>
      </c>
      <c r="D44" t="s">
        <v>100</v>
      </c>
      <c r="E44" t="s">
        <v>176</v>
      </c>
      <c r="F44">
        <v>100000</v>
      </c>
      <c r="G44" t="s">
        <v>102</v>
      </c>
      <c r="H44">
        <v>250000</v>
      </c>
      <c r="K44">
        <v>0.39</v>
      </c>
      <c r="L44">
        <v>0.56999999999999995</v>
      </c>
      <c r="M44" t="s">
        <v>98</v>
      </c>
      <c r="N44" t="s">
        <v>99</v>
      </c>
      <c r="X44" t="s">
        <v>177</v>
      </c>
    </row>
    <row r="45" spans="1:24" x14ac:dyDescent="0.25">
      <c r="A45" t="s">
        <v>92</v>
      </c>
      <c r="B45" t="s">
        <v>127</v>
      </c>
      <c r="C45" t="s">
        <v>94</v>
      </c>
      <c r="D45" t="s">
        <v>104</v>
      </c>
      <c r="E45" t="s">
        <v>178</v>
      </c>
      <c r="F45">
        <v>250000</v>
      </c>
      <c r="G45" t="s">
        <v>102</v>
      </c>
      <c r="K45">
        <v>0.65</v>
      </c>
      <c r="L45">
        <v>0.79</v>
      </c>
      <c r="M45" t="s">
        <v>98</v>
      </c>
      <c r="N45" t="s">
        <v>99</v>
      </c>
      <c r="X45" t="s">
        <v>179</v>
      </c>
    </row>
    <row r="46" spans="1:24" x14ac:dyDescent="0.25">
      <c r="A46" t="s">
        <v>92</v>
      </c>
      <c r="B46" t="s">
        <v>129</v>
      </c>
      <c r="C46" t="s">
        <v>116</v>
      </c>
      <c r="D46" t="s">
        <v>95</v>
      </c>
      <c r="E46" t="s">
        <v>180</v>
      </c>
      <c r="F46">
        <v>50000</v>
      </c>
      <c r="G46" t="s">
        <v>97</v>
      </c>
      <c r="H46">
        <v>200000</v>
      </c>
      <c r="I46">
        <v>0.33</v>
      </c>
      <c r="J46">
        <v>0.45</v>
      </c>
      <c r="K46">
        <v>0.6</v>
      </c>
      <c r="L46">
        <v>0.75</v>
      </c>
      <c r="M46" t="s">
        <v>98</v>
      </c>
      <c r="N46" t="s">
        <v>99</v>
      </c>
      <c r="X46" t="s">
        <v>181</v>
      </c>
    </row>
    <row r="47" spans="1:24" x14ac:dyDescent="0.25">
      <c r="A47" t="s">
        <v>92</v>
      </c>
      <c r="B47" t="s">
        <v>129</v>
      </c>
      <c r="C47" t="s">
        <v>116</v>
      </c>
      <c r="D47" t="s">
        <v>100</v>
      </c>
      <c r="E47" t="s">
        <v>182</v>
      </c>
      <c r="F47">
        <v>200000</v>
      </c>
      <c r="G47" t="s">
        <v>102</v>
      </c>
      <c r="H47">
        <v>600000</v>
      </c>
      <c r="I47">
        <v>0.32</v>
      </c>
      <c r="J47">
        <v>0.41</v>
      </c>
      <c r="K47">
        <v>0.71</v>
      </c>
      <c r="L47">
        <v>0.84</v>
      </c>
      <c r="M47" t="s">
        <v>98</v>
      </c>
      <c r="N47" t="s">
        <v>99</v>
      </c>
      <c r="X47" t="s">
        <v>183</v>
      </c>
    </row>
    <row r="48" spans="1:24" x14ac:dyDescent="0.25">
      <c r="A48" t="s">
        <v>92</v>
      </c>
      <c r="B48" t="s">
        <v>129</v>
      </c>
      <c r="C48" t="s">
        <v>116</v>
      </c>
      <c r="D48" t="s">
        <v>104</v>
      </c>
      <c r="E48" t="s">
        <v>105</v>
      </c>
      <c r="F48">
        <v>600000</v>
      </c>
      <c r="G48" t="s">
        <v>102</v>
      </c>
      <c r="I48">
        <v>0.31</v>
      </c>
      <c r="J48">
        <v>0.42</v>
      </c>
      <c r="K48">
        <v>0.8</v>
      </c>
      <c r="L48">
        <v>0.9</v>
      </c>
      <c r="M48" t="s">
        <v>98</v>
      </c>
      <c r="N48" t="s">
        <v>99</v>
      </c>
      <c r="X48" t="s">
        <v>184</v>
      </c>
    </row>
    <row r="49" spans="1:24" x14ac:dyDescent="0.25">
      <c r="A49" t="s">
        <v>92</v>
      </c>
      <c r="B49" t="s">
        <v>131</v>
      </c>
      <c r="C49" t="s">
        <v>94</v>
      </c>
      <c r="D49" t="s">
        <v>95</v>
      </c>
      <c r="E49" t="s">
        <v>96</v>
      </c>
      <c r="F49">
        <v>50000</v>
      </c>
      <c r="G49" t="s">
        <v>97</v>
      </c>
      <c r="H49">
        <v>150000</v>
      </c>
      <c r="K49">
        <v>0.37</v>
      </c>
      <c r="L49">
        <v>0.55000000000000004</v>
      </c>
      <c r="M49" t="s">
        <v>98</v>
      </c>
      <c r="N49" t="s">
        <v>99</v>
      </c>
      <c r="X49" t="s">
        <v>185</v>
      </c>
    </row>
    <row r="50" spans="1:24" x14ac:dyDescent="0.25">
      <c r="A50" t="s">
        <v>92</v>
      </c>
      <c r="B50" t="s">
        <v>131</v>
      </c>
      <c r="C50" t="s">
        <v>94</v>
      </c>
      <c r="D50" t="s">
        <v>100</v>
      </c>
      <c r="E50" t="s">
        <v>186</v>
      </c>
      <c r="F50">
        <v>150000</v>
      </c>
      <c r="G50" t="s">
        <v>102</v>
      </c>
      <c r="H50">
        <v>400000</v>
      </c>
      <c r="K50">
        <v>0.64</v>
      </c>
      <c r="L50">
        <v>0.77</v>
      </c>
      <c r="M50" t="s">
        <v>98</v>
      </c>
      <c r="N50" t="s">
        <v>99</v>
      </c>
      <c r="X50" t="s">
        <v>187</v>
      </c>
    </row>
    <row r="51" spans="1:24" x14ac:dyDescent="0.25">
      <c r="A51" t="s">
        <v>92</v>
      </c>
      <c r="B51" t="s">
        <v>131</v>
      </c>
      <c r="C51" t="s">
        <v>94</v>
      </c>
      <c r="D51" t="s">
        <v>104</v>
      </c>
      <c r="E51" t="s">
        <v>114</v>
      </c>
      <c r="F51">
        <v>400000</v>
      </c>
      <c r="G51" t="s">
        <v>102</v>
      </c>
      <c r="K51">
        <v>0.77</v>
      </c>
      <c r="L51">
        <v>0.88</v>
      </c>
      <c r="M51" t="s">
        <v>98</v>
      </c>
      <c r="N51" t="s">
        <v>99</v>
      </c>
      <c r="X51" t="s">
        <v>188</v>
      </c>
    </row>
    <row r="52" spans="1:24" x14ac:dyDescent="0.25">
      <c r="A52" t="s">
        <v>92</v>
      </c>
      <c r="B52" t="s">
        <v>133</v>
      </c>
      <c r="C52" t="s">
        <v>116</v>
      </c>
      <c r="D52" t="s">
        <v>95</v>
      </c>
      <c r="E52" t="s">
        <v>189</v>
      </c>
      <c r="F52">
        <v>60000</v>
      </c>
      <c r="G52" t="s">
        <v>97</v>
      </c>
      <c r="H52">
        <v>250000</v>
      </c>
      <c r="I52">
        <v>0.38</v>
      </c>
      <c r="J52">
        <v>0.46</v>
      </c>
      <c r="K52">
        <v>0.76</v>
      </c>
      <c r="L52">
        <v>0.87</v>
      </c>
      <c r="M52" t="s">
        <v>98</v>
      </c>
      <c r="N52" t="s">
        <v>99</v>
      </c>
      <c r="X52" t="s">
        <v>190</v>
      </c>
    </row>
    <row r="53" spans="1:24" x14ac:dyDescent="0.25">
      <c r="A53" t="s">
        <v>92</v>
      </c>
      <c r="B53" t="s">
        <v>133</v>
      </c>
      <c r="C53" t="s">
        <v>116</v>
      </c>
      <c r="D53" t="s">
        <v>100</v>
      </c>
      <c r="E53" t="s">
        <v>191</v>
      </c>
      <c r="F53">
        <v>250000</v>
      </c>
      <c r="G53" t="s">
        <v>102</v>
      </c>
      <c r="H53">
        <v>575000</v>
      </c>
      <c r="I53">
        <v>0.41</v>
      </c>
      <c r="J53">
        <v>0.49</v>
      </c>
      <c r="K53">
        <v>0.82</v>
      </c>
      <c r="L53">
        <v>0.88</v>
      </c>
      <c r="M53" t="s">
        <v>98</v>
      </c>
      <c r="N53" t="s">
        <v>99</v>
      </c>
      <c r="X53" t="s">
        <v>192</v>
      </c>
    </row>
    <row r="54" spans="1:24" x14ac:dyDescent="0.25">
      <c r="A54" t="s">
        <v>92</v>
      </c>
      <c r="B54" t="s">
        <v>133</v>
      </c>
      <c r="C54" t="s">
        <v>116</v>
      </c>
      <c r="D54" t="s">
        <v>104</v>
      </c>
      <c r="E54" t="s">
        <v>193</v>
      </c>
      <c r="F54">
        <v>575000</v>
      </c>
      <c r="G54" t="s">
        <v>102</v>
      </c>
      <c r="I54">
        <v>0.4</v>
      </c>
      <c r="J54">
        <v>0.49</v>
      </c>
      <c r="K54">
        <v>0.86</v>
      </c>
      <c r="L54">
        <v>0.93</v>
      </c>
      <c r="M54" t="s">
        <v>98</v>
      </c>
      <c r="N54" t="s">
        <v>99</v>
      </c>
      <c r="X54" t="s">
        <v>194</v>
      </c>
    </row>
    <row r="55" spans="1:24" x14ac:dyDescent="0.25">
      <c r="A55" t="s">
        <v>92</v>
      </c>
      <c r="B55" t="s">
        <v>135</v>
      </c>
      <c r="C55" t="s">
        <v>94</v>
      </c>
      <c r="D55" t="s">
        <v>95</v>
      </c>
      <c r="E55" t="s">
        <v>132</v>
      </c>
      <c r="F55">
        <v>65000</v>
      </c>
      <c r="G55" t="s">
        <v>97</v>
      </c>
      <c r="H55">
        <v>200000</v>
      </c>
      <c r="K55">
        <v>0.44</v>
      </c>
      <c r="L55">
        <v>0.61</v>
      </c>
      <c r="M55" t="s">
        <v>98</v>
      </c>
      <c r="N55" t="s">
        <v>99</v>
      </c>
      <c r="X55" t="s">
        <v>195</v>
      </c>
    </row>
    <row r="56" spans="1:24" x14ac:dyDescent="0.25">
      <c r="A56" t="s">
        <v>92</v>
      </c>
      <c r="B56" t="s">
        <v>135</v>
      </c>
      <c r="C56" t="s">
        <v>94</v>
      </c>
      <c r="D56" t="s">
        <v>100</v>
      </c>
      <c r="E56" t="s">
        <v>182</v>
      </c>
      <c r="F56">
        <v>200000</v>
      </c>
      <c r="G56" t="s">
        <v>102</v>
      </c>
      <c r="H56">
        <v>600000</v>
      </c>
      <c r="K56">
        <v>0.62</v>
      </c>
      <c r="L56">
        <v>0.8</v>
      </c>
      <c r="M56" t="s">
        <v>98</v>
      </c>
      <c r="N56" t="s">
        <v>99</v>
      </c>
      <c r="X56" t="s">
        <v>196</v>
      </c>
    </row>
    <row r="57" spans="1:24" x14ac:dyDescent="0.25">
      <c r="A57" t="s">
        <v>92</v>
      </c>
      <c r="B57" t="s">
        <v>135</v>
      </c>
      <c r="C57" t="s">
        <v>94</v>
      </c>
      <c r="D57" t="s">
        <v>104</v>
      </c>
      <c r="E57" t="s">
        <v>105</v>
      </c>
      <c r="F57">
        <v>600000</v>
      </c>
      <c r="G57" t="s">
        <v>102</v>
      </c>
      <c r="K57">
        <v>0.78</v>
      </c>
      <c r="L57">
        <v>0.88</v>
      </c>
      <c r="M57" t="s">
        <v>98</v>
      </c>
      <c r="N57" t="s">
        <v>99</v>
      </c>
      <c r="X57" t="s">
        <v>197</v>
      </c>
    </row>
    <row r="58" spans="1:24" x14ac:dyDescent="0.25">
      <c r="A58" t="s">
        <v>92</v>
      </c>
      <c r="B58" t="s">
        <v>136</v>
      </c>
      <c r="C58" t="s">
        <v>94</v>
      </c>
      <c r="D58" t="s">
        <v>95</v>
      </c>
      <c r="E58" t="s">
        <v>132</v>
      </c>
      <c r="F58">
        <v>65000</v>
      </c>
      <c r="G58" t="s">
        <v>97</v>
      </c>
      <c r="H58">
        <v>200000</v>
      </c>
      <c r="K58">
        <v>0.38</v>
      </c>
      <c r="L58">
        <v>0.54</v>
      </c>
      <c r="M58" t="s">
        <v>98</v>
      </c>
      <c r="N58" t="s">
        <v>99</v>
      </c>
      <c r="X58" t="s">
        <v>198</v>
      </c>
    </row>
    <row r="59" spans="1:24" x14ac:dyDescent="0.25">
      <c r="A59" t="s">
        <v>92</v>
      </c>
      <c r="B59" t="s">
        <v>136</v>
      </c>
      <c r="C59" t="s">
        <v>94</v>
      </c>
      <c r="D59" t="s">
        <v>100</v>
      </c>
      <c r="E59" t="s">
        <v>182</v>
      </c>
      <c r="F59">
        <v>200000</v>
      </c>
      <c r="G59" t="s">
        <v>102</v>
      </c>
      <c r="H59">
        <v>600000</v>
      </c>
      <c r="K59">
        <v>0.55000000000000004</v>
      </c>
      <c r="L59">
        <v>0.72</v>
      </c>
      <c r="M59" t="s">
        <v>98</v>
      </c>
      <c r="N59" t="s">
        <v>99</v>
      </c>
      <c r="X59" t="s">
        <v>199</v>
      </c>
    </row>
    <row r="60" spans="1:24" x14ac:dyDescent="0.25">
      <c r="A60" t="s">
        <v>92</v>
      </c>
      <c r="B60" t="s">
        <v>136</v>
      </c>
      <c r="C60" t="s">
        <v>94</v>
      </c>
      <c r="D60" t="s">
        <v>104</v>
      </c>
      <c r="E60" t="s">
        <v>105</v>
      </c>
      <c r="F60">
        <v>600000</v>
      </c>
      <c r="G60" t="s">
        <v>102</v>
      </c>
      <c r="K60">
        <v>0.67</v>
      </c>
      <c r="L60">
        <v>0.82</v>
      </c>
      <c r="M60" t="s">
        <v>98</v>
      </c>
      <c r="N60" t="s">
        <v>99</v>
      </c>
      <c r="X60" t="s">
        <v>200</v>
      </c>
    </row>
    <row r="61" spans="1:24" x14ac:dyDescent="0.25">
      <c r="A61" t="s">
        <v>92</v>
      </c>
      <c r="B61" t="s">
        <v>138</v>
      </c>
      <c r="C61" t="s">
        <v>94</v>
      </c>
      <c r="D61" t="s">
        <v>95</v>
      </c>
      <c r="E61" t="s">
        <v>201</v>
      </c>
      <c r="F61">
        <v>50000</v>
      </c>
      <c r="G61" t="s">
        <v>97</v>
      </c>
      <c r="H61">
        <v>115000</v>
      </c>
      <c r="K61">
        <v>0.31</v>
      </c>
      <c r="L61">
        <v>0.54</v>
      </c>
      <c r="M61" t="s">
        <v>98</v>
      </c>
      <c r="N61" t="s">
        <v>99</v>
      </c>
      <c r="X61" t="s">
        <v>202</v>
      </c>
    </row>
    <row r="62" spans="1:24" x14ac:dyDescent="0.25">
      <c r="A62" t="s">
        <v>92</v>
      </c>
      <c r="B62" t="s">
        <v>138</v>
      </c>
      <c r="C62" t="s">
        <v>94</v>
      </c>
      <c r="D62" t="s">
        <v>100</v>
      </c>
      <c r="E62" t="s">
        <v>203</v>
      </c>
      <c r="F62">
        <v>115000</v>
      </c>
      <c r="G62" t="s">
        <v>102</v>
      </c>
      <c r="H62">
        <v>250000</v>
      </c>
      <c r="K62">
        <v>0.47</v>
      </c>
      <c r="L62">
        <v>0.69</v>
      </c>
      <c r="M62" t="s">
        <v>98</v>
      </c>
      <c r="N62" t="s">
        <v>99</v>
      </c>
      <c r="X62" t="s">
        <v>204</v>
      </c>
    </row>
    <row r="63" spans="1:24" x14ac:dyDescent="0.25">
      <c r="A63" t="s">
        <v>92</v>
      </c>
      <c r="B63" t="s">
        <v>138</v>
      </c>
      <c r="C63" t="s">
        <v>94</v>
      </c>
      <c r="D63" t="s">
        <v>104</v>
      </c>
      <c r="E63" t="s">
        <v>178</v>
      </c>
      <c r="F63">
        <v>250000</v>
      </c>
      <c r="G63" t="s">
        <v>102</v>
      </c>
      <c r="K63">
        <v>0.7</v>
      </c>
      <c r="L63">
        <v>0.86</v>
      </c>
      <c r="M63" t="s">
        <v>98</v>
      </c>
      <c r="N63" t="s">
        <v>99</v>
      </c>
      <c r="X63" t="s">
        <v>205</v>
      </c>
    </row>
    <row r="64" spans="1:24" x14ac:dyDescent="0.25">
      <c r="A64" t="s">
        <v>92</v>
      </c>
      <c r="B64" t="s">
        <v>140</v>
      </c>
      <c r="C64" t="s">
        <v>94</v>
      </c>
      <c r="D64" t="s">
        <v>95</v>
      </c>
      <c r="E64" t="s">
        <v>128</v>
      </c>
      <c r="F64">
        <v>65000</v>
      </c>
      <c r="G64" t="s">
        <v>97</v>
      </c>
      <c r="H64">
        <v>150000</v>
      </c>
      <c r="K64">
        <v>0.4</v>
      </c>
      <c r="L64">
        <v>0.56999999999999995</v>
      </c>
      <c r="M64" t="s">
        <v>98</v>
      </c>
      <c r="N64" t="s">
        <v>99</v>
      </c>
      <c r="X64" t="s">
        <v>206</v>
      </c>
    </row>
    <row r="65" spans="1:24" x14ac:dyDescent="0.25">
      <c r="A65" t="s">
        <v>92</v>
      </c>
      <c r="B65" t="s">
        <v>140</v>
      </c>
      <c r="C65" t="s">
        <v>94</v>
      </c>
      <c r="D65" t="s">
        <v>100</v>
      </c>
      <c r="E65" t="s">
        <v>207</v>
      </c>
      <c r="F65">
        <v>150000</v>
      </c>
      <c r="G65" t="s">
        <v>102</v>
      </c>
      <c r="H65">
        <v>300000</v>
      </c>
      <c r="K65">
        <v>0.45</v>
      </c>
      <c r="L65">
        <v>0.62</v>
      </c>
      <c r="M65" t="s">
        <v>98</v>
      </c>
      <c r="N65" t="s">
        <v>99</v>
      </c>
      <c r="X65" t="s">
        <v>208</v>
      </c>
    </row>
    <row r="66" spans="1:24" x14ac:dyDescent="0.25">
      <c r="A66" t="s">
        <v>92</v>
      </c>
      <c r="B66" t="s">
        <v>140</v>
      </c>
      <c r="C66" t="s">
        <v>94</v>
      </c>
      <c r="D66" t="s">
        <v>104</v>
      </c>
      <c r="E66" t="s">
        <v>209</v>
      </c>
      <c r="F66">
        <v>300000</v>
      </c>
      <c r="G66" t="s">
        <v>102</v>
      </c>
      <c r="K66">
        <v>0.62</v>
      </c>
      <c r="L66">
        <v>0.78</v>
      </c>
      <c r="M66" t="s">
        <v>98</v>
      </c>
      <c r="N66" t="s">
        <v>99</v>
      </c>
      <c r="X66" t="s">
        <v>210</v>
      </c>
    </row>
    <row r="67" spans="1:24" x14ac:dyDescent="0.25">
      <c r="A67" t="s">
        <v>92</v>
      </c>
      <c r="B67" t="s">
        <v>142</v>
      </c>
      <c r="C67" t="s">
        <v>116</v>
      </c>
      <c r="D67" t="s">
        <v>95</v>
      </c>
      <c r="E67" t="s">
        <v>143</v>
      </c>
      <c r="F67">
        <v>65000</v>
      </c>
      <c r="G67" t="s">
        <v>97</v>
      </c>
      <c r="H67">
        <v>250000</v>
      </c>
      <c r="I67">
        <v>0.41</v>
      </c>
      <c r="J67">
        <v>0.56000000000000005</v>
      </c>
      <c r="K67">
        <v>0.72</v>
      </c>
      <c r="L67">
        <v>0.85</v>
      </c>
      <c r="M67" t="s">
        <v>98</v>
      </c>
      <c r="N67" t="s">
        <v>99</v>
      </c>
      <c r="X67" t="s">
        <v>211</v>
      </c>
    </row>
    <row r="68" spans="1:24" x14ac:dyDescent="0.25">
      <c r="A68" t="s">
        <v>92</v>
      </c>
      <c r="B68" t="s">
        <v>142</v>
      </c>
      <c r="C68" t="s">
        <v>116</v>
      </c>
      <c r="D68" t="s">
        <v>100</v>
      </c>
      <c r="E68" t="s">
        <v>212</v>
      </c>
      <c r="F68">
        <v>250000</v>
      </c>
      <c r="G68" t="s">
        <v>102</v>
      </c>
      <c r="H68">
        <v>500000</v>
      </c>
      <c r="I68">
        <v>0.47</v>
      </c>
      <c r="J68">
        <v>0.56999999999999995</v>
      </c>
      <c r="K68">
        <v>0.79</v>
      </c>
      <c r="L68">
        <v>0.89</v>
      </c>
      <c r="M68" t="s">
        <v>98</v>
      </c>
      <c r="N68" t="s">
        <v>99</v>
      </c>
      <c r="X68" t="s">
        <v>213</v>
      </c>
    </row>
    <row r="69" spans="1:24" x14ac:dyDescent="0.25">
      <c r="A69" t="s">
        <v>92</v>
      </c>
      <c r="B69" t="s">
        <v>142</v>
      </c>
      <c r="C69" t="s">
        <v>116</v>
      </c>
      <c r="D69" t="s">
        <v>104</v>
      </c>
      <c r="E69" t="s">
        <v>141</v>
      </c>
      <c r="F69">
        <v>500000</v>
      </c>
      <c r="G69" t="s">
        <v>102</v>
      </c>
      <c r="I69">
        <v>0.49</v>
      </c>
      <c r="J69">
        <v>0.57999999999999996</v>
      </c>
      <c r="K69">
        <v>0.83</v>
      </c>
      <c r="L69">
        <v>0.91</v>
      </c>
      <c r="M69" t="s">
        <v>98</v>
      </c>
      <c r="N69" t="s">
        <v>99</v>
      </c>
      <c r="X69" t="s">
        <v>214</v>
      </c>
    </row>
    <row r="70" spans="1:24" x14ac:dyDescent="0.25">
      <c r="A70" t="s">
        <v>92</v>
      </c>
      <c r="B70" t="s">
        <v>144</v>
      </c>
      <c r="C70" t="s">
        <v>116</v>
      </c>
      <c r="D70" t="s">
        <v>95</v>
      </c>
      <c r="E70" t="s">
        <v>143</v>
      </c>
      <c r="F70">
        <v>65000</v>
      </c>
      <c r="G70" t="s">
        <v>97</v>
      </c>
      <c r="H70">
        <v>250000</v>
      </c>
      <c r="I70">
        <v>0.35</v>
      </c>
      <c r="J70">
        <v>0.43</v>
      </c>
      <c r="K70">
        <v>0.74</v>
      </c>
      <c r="L70">
        <v>0.86</v>
      </c>
      <c r="M70" t="s">
        <v>98</v>
      </c>
      <c r="N70" t="s">
        <v>99</v>
      </c>
      <c r="X70" t="s">
        <v>215</v>
      </c>
    </row>
    <row r="71" spans="1:24" x14ac:dyDescent="0.25">
      <c r="A71" t="s">
        <v>92</v>
      </c>
      <c r="B71" t="s">
        <v>144</v>
      </c>
      <c r="C71" t="s">
        <v>116</v>
      </c>
      <c r="D71" t="s">
        <v>100</v>
      </c>
      <c r="E71" t="s">
        <v>216</v>
      </c>
      <c r="F71">
        <v>250000</v>
      </c>
      <c r="G71" t="s">
        <v>102</v>
      </c>
      <c r="H71">
        <v>600000</v>
      </c>
      <c r="I71">
        <v>0.35</v>
      </c>
      <c r="J71">
        <v>0.41</v>
      </c>
      <c r="K71">
        <v>0.81</v>
      </c>
      <c r="L71">
        <v>0.9</v>
      </c>
      <c r="M71" t="s">
        <v>98</v>
      </c>
      <c r="N71" t="s">
        <v>99</v>
      </c>
      <c r="X71" t="s">
        <v>217</v>
      </c>
    </row>
    <row r="72" spans="1:24" x14ac:dyDescent="0.25">
      <c r="A72" t="s">
        <v>92</v>
      </c>
      <c r="B72" t="s">
        <v>144</v>
      </c>
      <c r="C72" t="s">
        <v>116</v>
      </c>
      <c r="D72" t="s">
        <v>104</v>
      </c>
      <c r="E72" t="s">
        <v>105</v>
      </c>
      <c r="F72">
        <v>600000</v>
      </c>
      <c r="G72" t="s">
        <v>102</v>
      </c>
      <c r="I72">
        <v>0.33</v>
      </c>
      <c r="J72">
        <v>0.39</v>
      </c>
      <c r="K72">
        <v>0.86</v>
      </c>
      <c r="L72">
        <v>0.93</v>
      </c>
      <c r="M72" t="s">
        <v>98</v>
      </c>
      <c r="N72" t="s">
        <v>99</v>
      </c>
      <c r="X72" t="s">
        <v>218</v>
      </c>
    </row>
    <row r="73" spans="1:24" x14ac:dyDescent="0.25">
      <c r="A73" t="s">
        <v>92</v>
      </c>
      <c r="B73" t="s">
        <v>145</v>
      </c>
      <c r="C73" t="s">
        <v>116</v>
      </c>
      <c r="D73" t="s">
        <v>95</v>
      </c>
      <c r="E73" t="s">
        <v>132</v>
      </c>
      <c r="F73">
        <v>65000</v>
      </c>
      <c r="G73" t="s">
        <v>97</v>
      </c>
      <c r="H73">
        <v>200000</v>
      </c>
      <c r="I73">
        <v>0.38</v>
      </c>
      <c r="J73">
        <v>0.55000000000000004</v>
      </c>
      <c r="K73">
        <v>0.65</v>
      </c>
      <c r="L73">
        <v>0.81</v>
      </c>
      <c r="M73" t="s">
        <v>98</v>
      </c>
      <c r="N73" t="s">
        <v>99</v>
      </c>
      <c r="X73" t="s">
        <v>219</v>
      </c>
    </row>
    <row r="74" spans="1:24" x14ac:dyDescent="0.25">
      <c r="A74" t="s">
        <v>92</v>
      </c>
      <c r="B74" t="s">
        <v>145</v>
      </c>
      <c r="C74" t="s">
        <v>116</v>
      </c>
      <c r="D74" t="s">
        <v>100</v>
      </c>
      <c r="E74" t="s">
        <v>182</v>
      </c>
      <c r="F74">
        <v>200000</v>
      </c>
      <c r="G74" t="s">
        <v>102</v>
      </c>
      <c r="H74">
        <v>600000</v>
      </c>
      <c r="I74">
        <v>0.44</v>
      </c>
      <c r="J74">
        <v>0.57999999999999996</v>
      </c>
      <c r="K74">
        <v>0.73</v>
      </c>
      <c r="L74">
        <v>0.87</v>
      </c>
      <c r="M74" t="s">
        <v>98</v>
      </c>
      <c r="N74" t="s">
        <v>99</v>
      </c>
      <c r="X74" t="s">
        <v>220</v>
      </c>
    </row>
    <row r="75" spans="1:24" x14ac:dyDescent="0.25">
      <c r="A75" t="s">
        <v>92</v>
      </c>
      <c r="B75" t="s">
        <v>145</v>
      </c>
      <c r="C75" t="s">
        <v>116</v>
      </c>
      <c r="D75" t="s">
        <v>104</v>
      </c>
      <c r="E75" t="s">
        <v>105</v>
      </c>
      <c r="F75">
        <v>600000</v>
      </c>
      <c r="G75" t="s">
        <v>102</v>
      </c>
      <c r="I75">
        <v>0.51</v>
      </c>
      <c r="J75">
        <v>0.66</v>
      </c>
      <c r="K75">
        <v>0.83</v>
      </c>
      <c r="L75">
        <v>0.92</v>
      </c>
      <c r="M75" t="s">
        <v>98</v>
      </c>
      <c r="N75" t="s">
        <v>99</v>
      </c>
      <c r="X75" t="s">
        <v>221</v>
      </c>
    </row>
    <row r="76" spans="1:24" x14ac:dyDescent="0.25">
      <c r="A76" t="s">
        <v>92</v>
      </c>
      <c r="B76" t="s">
        <v>146</v>
      </c>
      <c r="C76" t="s">
        <v>94</v>
      </c>
      <c r="D76" t="s">
        <v>95</v>
      </c>
      <c r="E76" t="s">
        <v>180</v>
      </c>
      <c r="F76">
        <v>50000</v>
      </c>
      <c r="G76" t="s">
        <v>97</v>
      </c>
      <c r="H76">
        <v>200000</v>
      </c>
      <c r="K76">
        <v>0.39</v>
      </c>
      <c r="L76">
        <v>0.62</v>
      </c>
      <c r="M76" t="s">
        <v>98</v>
      </c>
      <c r="N76" t="s">
        <v>99</v>
      </c>
      <c r="X76" t="s">
        <v>222</v>
      </c>
    </row>
    <row r="77" spans="1:24" x14ac:dyDescent="0.25">
      <c r="A77" t="s">
        <v>92</v>
      </c>
      <c r="B77" t="s">
        <v>146</v>
      </c>
      <c r="C77" t="s">
        <v>94</v>
      </c>
      <c r="D77" t="s">
        <v>100</v>
      </c>
      <c r="E77" t="s">
        <v>223</v>
      </c>
      <c r="F77">
        <v>200000</v>
      </c>
      <c r="G77" t="s">
        <v>102</v>
      </c>
      <c r="H77">
        <v>500000</v>
      </c>
      <c r="K77">
        <v>0.65</v>
      </c>
      <c r="L77">
        <v>0.79</v>
      </c>
      <c r="M77" t="s">
        <v>98</v>
      </c>
      <c r="N77" t="s">
        <v>99</v>
      </c>
      <c r="X77" t="s">
        <v>224</v>
      </c>
    </row>
    <row r="78" spans="1:24" x14ac:dyDescent="0.25">
      <c r="A78" t="s">
        <v>92</v>
      </c>
      <c r="B78" t="s">
        <v>146</v>
      </c>
      <c r="C78" t="s">
        <v>94</v>
      </c>
      <c r="D78" t="s">
        <v>104</v>
      </c>
      <c r="E78" t="s">
        <v>141</v>
      </c>
      <c r="F78">
        <v>500000</v>
      </c>
      <c r="G78" t="s">
        <v>102</v>
      </c>
      <c r="K78">
        <v>0.77</v>
      </c>
      <c r="L78">
        <v>0.88</v>
      </c>
      <c r="M78" t="s">
        <v>98</v>
      </c>
      <c r="N78" t="s">
        <v>99</v>
      </c>
      <c r="X78" t="s">
        <v>225</v>
      </c>
    </row>
    <row r="79" spans="1:24" x14ac:dyDescent="0.25">
      <c r="A79" t="s">
        <v>92</v>
      </c>
      <c r="B79" t="s">
        <v>148</v>
      </c>
      <c r="C79" t="s">
        <v>116</v>
      </c>
      <c r="D79" t="s">
        <v>95</v>
      </c>
      <c r="E79" t="s">
        <v>143</v>
      </c>
      <c r="F79">
        <v>65000</v>
      </c>
      <c r="G79" t="s">
        <v>97</v>
      </c>
      <c r="H79">
        <v>250000</v>
      </c>
      <c r="I79">
        <v>0.42</v>
      </c>
      <c r="J79">
        <v>0.53</v>
      </c>
      <c r="K79">
        <v>0.73</v>
      </c>
      <c r="L79">
        <v>0.86</v>
      </c>
      <c r="M79" t="s">
        <v>98</v>
      </c>
      <c r="N79" t="s">
        <v>99</v>
      </c>
      <c r="X79" t="s">
        <v>226</v>
      </c>
    </row>
    <row r="80" spans="1:24" x14ac:dyDescent="0.25">
      <c r="A80" t="s">
        <v>92</v>
      </c>
      <c r="B80" t="s">
        <v>148</v>
      </c>
      <c r="C80" t="s">
        <v>116</v>
      </c>
      <c r="D80" t="s">
        <v>100</v>
      </c>
      <c r="E80" t="s">
        <v>178</v>
      </c>
      <c r="F80">
        <v>250000</v>
      </c>
      <c r="G80" t="s">
        <v>102</v>
      </c>
      <c r="I80">
        <v>0.43</v>
      </c>
      <c r="J80">
        <v>0.53</v>
      </c>
      <c r="K80">
        <v>0.8</v>
      </c>
      <c r="L80">
        <v>0.9</v>
      </c>
      <c r="M80" t="s">
        <v>98</v>
      </c>
      <c r="N80" t="s">
        <v>99</v>
      </c>
      <c r="X80" t="s">
        <v>227</v>
      </c>
    </row>
    <row r="81" spans="1:24" x14ac:dyDescent="0.25">
      <c r="A81" t="s">
        <v>92</v>
      </c>
      <c r="B81" t="s">
        <v>150</v>
      </c>
      <c r="C81" t="s">
        <v>94</v>
      </c>
      <c r="D81" t="s">
        <v>95</v>
      </c>
      <c r="E81" t="s">
        <v>174</v>
      </c>
      <c r="F81">
        <v>50000</v>
      </c>
      <c r="G81" t="s">
        <v>97</v>
      </c>
      <c r="H81">
        <v>100000</v>
      </c>
      <c r="K81">
        <v>0.4</v>
      </c>
      <c r="L81">
        <v>0.56000000000000005</v>
      </c>
      <c r="M81" t="s">
        <v>98</v>
      </c>
      <c r="N81" t="s">
        <v>99</v>
      </c>
      <c r="X81" t="s">
        <v>228</v>
      </c>
    </row>
    <row r="82" spans="1:24" x14ac:dyDescent="0.25">
      <c r="A82" t="s">
        <v>92</v>
      </c>
      <c r="B82" t="s">
        <v>150</v>
      </c>
      <c r="C82" t="s">
        <v>94</v>
      </c>
      <c r="D82" t="s">
        <v>100</v>
      </c>
      <c r="E82" t="s">
        <v>229</v>
      </c>
      <c r="F82">
        <v>100000</v>
      </c>
      <c r="G82" t="s">
        <v>102</v>
      </c>
      <c r="H82">
        <v>300000</v>
      </c>
      <c r="K82">
        <v>0.48</v>
      </c>
      <c r="L82">
        <v>0.69</v>
      </c>
      <c r="M82" t="s">
        <v>98</v>
      </c>
      <c r="N82" t="s">
        <v>99</v>
      </c>
      <c r="X82" t="s">
        <v>230</v>
      </c>
    </row>
    <row r="83" spans="1:24" x14ac:dyDescent="0.25">
      <c r="A83" t="s">
        <v>92</v>
      </c>
      <c r="B83" t="s">
        <v>150</v>
      </c>
      <c r="C83" t="s">
        <v>94</v>
      </c>
      <c r="D83" t="s">
        <v>104</v>
      </c>
      <c r="E83" t="s">
        <v>209</v>
      </c>
      <c r="F83">
        <v>300000</v>
      </c>
      <c r="G83" t="s">
        <v>102</v>
      </c>
      <c r="K83">
        <v>0.75</v>
      </c>
      <c r="L83">
        <v>0.89</v>
      </c>
      <c r="M83" t="s">
        <v>98</v>
      </c>
      <c r="N83" t="s">
        <v>99</v>
      </c>
      <c r="X83" t="s">
        <v>231</v>
      </c>
    </row>
    <row r="84" spans="1:24" x14ac:dyDescent="0.25">
      <c r="A84" t="s">
        <v>92</v>
      </c>
      <c r="B84" t="s">
        <v>152</v>
      </c>
      <c r="C84" t="s">
        <v>116</v>
      </c>
      <c r="D84" t="s">
        <v>95</v>
      </c>
      <c r="E84" t="s">
        <v>128</v>
      </c>
      <c r="F84">
        <v>65000</v>
      </c>
      <c r="G84" t="s">
        <v>97</v>
      </c>
      <c r="H84">
        <v>150000</v>
      </c>
      <c r="I84">
        <v>0.35</v>
      </c>
      <c r="J84">
        <v>0.5</v>
      </c>
      <c r="K84">
        <v>0.68</v>
      </c>
      <c r="L84">
        <v>0.82</v>
      </c>
      <c r="M84" t="s">
        <v>98</v>
      </c>
      <c r="N84" t="s">
        <v>99</v>
      </c>
      <c r="X84" t="s">
        <v>232</v>
      </c>
    </row>
    <row r="85" spans="1:24" x14ac:dyDescent="0.25">
      <c r="A85" t="s">
        <v>92</v>
      </c>
      <c r="B85" t="s">
        <v>152</v>
      </c>
      <c r="C85" t="s">
        <v>116</v>
      </c>
      <c r="D85" t="s">
        <v>100</v>
      </c>
      <c r="E85" t="s">
        <v>130</v>
      </c>
      <c r="F85">
        <v>150000</v>
      </c>
      <c r="G85" t="s">
        <v>102</v>
      </c>
      <c r="I85">
        <v>0.4</v>
      </c>
      <c r="J85">
        <v>0.53</v>
      </c>
      <c r="K85">
        <v>0.76</v>
      </c>
      <c r="L85">
        <v>0.87</v>
      </c>
      <c r="M85" t="s">
        <v>98</v>
      </c>
      <c r="N85" t="s">
        <v>99</v>
      </c>
      <c r="X85" t="s">
        <v>233</v>
      </c>
    </row>
    <row r="86" spans="1:24" x14ac:dyDescent="0.25">
      <c r="A86" t="s">
        <v>92</v>
      </c>
      <c r="B86" t="s">
        <v>153</v>
      </c>
      <c r="C86" t="s">
        <v>116</v>
      </c>
      <c r="D86" t="s">
        <v>95</v>
      </c>
      <c r="E86" t="s">
        <v>143</v>
      </c>
      <c r="F86">
        <v>65000</v>
      </c>
      <c r="G86" t="s">
        <v>97</v>
      </c>
      <c r="H86">
        <v>250000</v>
      </c>
      <c r="I86">
        <v>0.43</v>
      </c>
      <c r="J86">
        <v>0.57999999999999996</v>
      </c>
      <c r="K86">
        <v>0.75</v>
      </c>
      <c r="L86">
        <v>0.89</v>
      </c>
      <c r="M86" t="s">
        <v>98</v>
      </c>
      <c r="N86" t="s">
        <v>99</v>
      </c>
      <c r="X86" t="s">
        <v>234</v>
      </c>
    </row>
    <row r="87" spans="1:24" x14ac:dyDescent="0.25">
      <c r="A87" t="s">
        <v>92</v>
      </c>
      <c r="B87" t="s">
        <v>153</v>
      </c>
      <c r="C87" t="s">
        <v>116</v>
      </c>
      <c r="D87" t="s">
        <v>100</v>
      </c>
      <c r="E87" t="s">
        <v>212</v>
      </c>
      <c r="F87">
        <v>250000</v>
      </c>
      <c r="G87" t="s">
        <v>102</v>
      </c>
      <c r="H87">
        <v>500000</v>
      </c>
      <c r="I87">
        <v>0.48</v>
      </c>
      <c r="J87">
        <v>0.61</v>
      </c>
      <c r="K87">
        <v>0.8</v>
      </c>
      <c r="L87">
        <v>0.9</v>
      </c>
      <c r="M87" t="s">
        <v>98</v>
      </c>
      <c r="N87" t="s">
        <v>99</v>
      </c>
      <c r="X87" t="s">
        <v>235</v>
      </c>
    </row>
    <row r="88" spans="1:24" x14ac:dyDescent="0.25">
      <c r="A88" t="s">
        <v>92</v>
      </c>
      <c r="B88" t="s">
        <v>153</v>
      </c>
      <c r="C88" t="s">
        <v>116</v>
      </c>
      <c r="D88" t="s">
        <v>104</v>
      </c>
      <c r="E88" t="s">
        <v>141</v>
      </c>
      <c r="F88">
        <v>500000</v>
      </c>
      <c r="G88" t="s">
        <v>102</v>
      </c>
      <c r="I88">
        <v>0.53</v>
      </c>
      <c r="J88">
        <v>0.65</v>
      </c>
      <c r="K88">
        <v>0.87</v>
      </c>
      <c r="L88">
        <v>0.93</v>
      </c>
      <c r="M88" t="s">
        <v>98</v>
      </c>
      <c r="N88" t="s">
        <v>99</v>
      </c>
      <c r="X88" t="s">
        <v>236</v>
      </c>
    </row>
    <row r="89" spans="1:24" x14ac:dyDescent="0.25">
      <c r="A89" t="s">
        <v>92</v>
      </c>
      <c r="B89" t="s">
        <v>155</v>
      </c>
      <c r="C89" t="s">
        <v>94</v>
      </c>
      <c r="D89" t="s">
        <v>95</v>
      </c>
      <c r="E89" t="s">
        <v>237</v>
      </c>
      <c r="F89">
        <v>50000</v>
      </c>
      <c r="G89" t="s">
        <v>97</v>
      </c>
      <c r="H89">
        <v>90000</v>
      </c>
      <c r="K89">
        <v>0.37</v>
      </c>
      <c r="L89">
        <v>0.55000000000000004</v>
      </c>
      <c r="M89" t="s">
        <v>98</v>
      </c>
      <c r="N89" t="s">
        <v>99</v>
      </c>
      <c r="X89" t="s">
        <v>238</v>
      </c>
    </row>
    <row r="90" spans="1:24" x14ac:dyDescent="0.25">
      <c r="A90" t="s">
        <v>92</v>
      </c>
      <c r="B90" t="s">
        <v>155</v>
      </c>
      <c r="C90" t="s">
        <v>94</v>
      </c>
      <c r="D90" t="s">
        <v>100</v>
      </c>
      <c r="E90" t="s">
        <v>239</v>
      </c>
      <c r="F90">
        <v>90000</v>
      </c>
      <c r="G90" t="s">
        <v>102</v>
      </c>
      <c r="H90">
        <v>210000</v>
      </c>
      <c r="K90">
        <v>0.47</v>
      </c>
      <c r="L90">
        <v>0.66</v>
      </c>
      <c r="M90" t="s">
        <v>98</v>
      </c>
      <c r="N90" t="s">
        <v>99</v>
      </c>
      <c r="X90" t="s">
        <v>240</v>
      </c>
    </row>
    <row r="91" spans="1:24" x14ac:dyDescent="0.25">
      <c r="A91" t="s">
        <v>92</v>
      </c>
      <c r="B91" t="s">
        <v>155</v>
      </c>
      <c r="C91" t="s">
        <v>94</v>
      </c>
      <c r="D91" t="s">
        <v>104</v>
      </c>
      <c r="E91" t="s">
        <v>241</v>
      </c>
      <c r="F91">
        <v>210000</v>
      </c>
      <c r="G91" t="s">
        <v>102</v>
      </c>
      <c r="K91">
        <v>0.65</v>
      </c>
      <c r="L91">
        <v>0.82</v>
      </c>
      <c r="M91" t="s">
        <v>98</v>
      </c>
      <c r="N91" t="s">
        <v>99</v>
      </c>
      <c r="X91" t="s">
        <v>242</v>
      </c>
    </row>
    <row r="92" spans="1:24" x14ac:dyDescent="0.25">
      <c r="A92" t="s">
        <v>92</v>
      </c>
      <c r="B92" t="s">
        <v>157</v>
      </c>
      <c r="C92" t="s">
        <v>94</v>
      </c>
      <c r="D92" t="s">
        <v>95</v>
      </c>
      <c r="E92" t="s">
        <v>164</v>
      </c>
      <c r="F92">
        <v>65000</v>
      </c>
      <c r="G92" t="s">
        <v>97</v>
      </c>
      <c r="H92">
        <v>300000</v>
      </c>
      <c r="K92">
        <v>0.42</v>
      </c>
      <c r="L92">
        <v>0.67</v>
      </c>
      <c r="M92" t="s">
        <v>98</v>
      </c>
      <c r="N92" t="s">
        <v>99</v>
      </c>
      <c r="X92" t="s">
        <v>243</v>
      </c>
    </row>
    <row r="93" spans="1:24" x14ac:dyDescent="0.25">
      <c r="A93" t="s">
        <v>92</v>
      </c>
      <c r="B93" t="s">
        <v>157</v>
      </c>
      <c r="C93" t="s">
        <v>94</v>
      </c>
      <c r="D93" t="s">
        <v>100</v>
      </c>
      <c r="E93" t="s">
        <v>160</v>
      </c>
      <c r="F93">
        <v>300000</v>
      </c>
      <c r="G93" t="s">
        <v>102</v>
      </c>
      <c r="H93">
        <v>900000</v>
      </c>
      <c r="K93">
        <v>0.6</v>
      </c>
      <c r="L93">
        <v>0.74</v>
      </c>
      <c r="M93" t="s">
        <v>98</v>
      </c>
      <c r="N93" t="s">
        <v>99</v>
      </c>
      <c r="X93" t="s">
        <v>244</v>
      </c>
    </row>
    <row r="94" spans="1:24" x14ac:dyDescent="0.25">
      <c r="A94" t="s">
        <v>92</v>
      </c>
      <c r="B94" t="s">
        <v>157</v>
      </c>
      <c r="C94" t="s">
        <v>94</v>
      </c>
      <c r="D94" t="s">
        <v>104</v>
      </c>
      <c r="E94" t="s">
        <v>162</v>
      </c>
      <c r="F94">
        <v>900000</v>
      </c>
      <c r="G94" t="s">
        <v>102</v>
      </c>
      <c r="K94">
        <v>0.6</v>
      </c>
      <c r="L94">
        <v>0.72</v>
      </c>
      <c r="M94" t="s">
        <v>98</v>
      </c>
      <c r="N94" t="s">
        <v>99</v>
      </c>
      <c r="X94" t="s">
        <v>245</v>
      </c>
    </row>
    <row r="95" spans="1:24" x14ac:dyDescent="0.25">
      <c r="A95" t="s">
        <v>92</v>
      </c>
      <c r="B95" t="s">
        <v>159</v>
      </c>
      <c r="C95" t="s">
        <v>94</v>
      </c>
      <c r="D95" t="s">
        <v>95</v>
      </c>
      <c r="E95" t="s">
        <v>246</v>
      </c>
      <c r="F95">
        <v>50000</v>
      </c>
      <c r="G95" t="s">
        <v>97</v>
      </c>
      <c r="H95">
        <v>435000</v>
      </c>
      <c r="K95">
        <v>0.53</v>
      </c>
      <c r="L95">
        <v>0.67</v>
      </c>
      <c r="M95" t="s">
        <v>98</v>
      </c>
      <c r="N95" t="s">
        <v>99</v>
      </c>
      <c r="X95" t="s">
        <v>247</v>
      </c>
    </row>
    <row r="96" spans="1:24" x14ac:dyDescent="0.25">
      <c r="A96" t="s">
        <v>92</v>
      </c>
      <c r="B96" t="s">
        <v>159</v>
      </c>
      <c r="C96" t="s">
        <v>94</v>
      </c>
      <c r="D96" t="s">
        <v>100</v>
      </c>
      <c r="E96" t="s">
        <v>248</v>
      </c>
      <c r="F96">
        <v>435000</v>
      </c>
      <c r="G96" t="s">
        <v>102</v>
      </c>
      <c r="H96">
        <v>815000</v>
      </c>
      <c r="K96">
        <v>0.65</v>
      </c>
      <c r="L96">
        <v>0.73</v>
      </c>
      <c r="M96" t="s">
        <v>98</v>
      </c>
      <c r="N96" t="s">
        <v>99</v>
      </c>
      <c r="X96" t="s">
        <v>249</v>
      </c>
    </row>
    <row r="97" spans="1:24" x14ac:dyDescent="0.25">
      <c r="A97" t="s">
        <v>92</v>
      </c>
      <c r="B97" t="s">
        <v>159</v>
      </c>
      <c r="C97" t="s">
        <v>94</v>
      </c>
      <c r="D97" t="s">
        <v>104</v>
      </c>
      <c r="E97" t="s">
        <v>250</v>
      </c>
      <c r="F97">
        <v>815000</v>
      </c>
      <c r="G97" t="s">
        <v>102</v>
      </c>
      <c r="K97">
        <v>0.67</v>
      </c>
      <c r="L97">
        <v>0.8</v>
      </c>
      <c r="M97" t="s">
        <v>98</v>
      </c>
      <c r="N97" t="s">
        <v>99</v>
      </c>
      <c r="X97" t="s">
        <v>251</v>
      </c>
    </row>
    <row r="98" spans="1:24" x14ac:dyDescent="0.25">
      <c r="A98" t="s">
        <v>92</v>
      </c>
      <c r="B98" t="s">
        <v>161</v>
      </c>
      <c r="C98" t="s">
        <v>116</v>
      </c>
      <c r="D98" t="s">
        <v>95</v>
      </c>
      <c r="E98" t="s">
        <v>143</v>
      </c>
      <c r="F98">
        <v>65000</v>
      </c>
      <c r="G98" t="s">
        <v>97</v>
      </c>
      <c r="H98">
        <v>250000</v>
      </c>
      <c r="I98">
        <v>0.43</v>
      </c>
      <c r="J98">
        <v>0.53</v>
      </c>
      <c r="K98">
        <v>0.79</v>
      </c>
      <c r="L98">
        <v>0.89</v>
      </c>
      <c r="M98" t="s">
        <v>98</v>
      </c>
      <c r="N98" t="s">
        <v>99</v>
      </c>
      <c r="X98" t="s">
        <v>252</v>
      </c>
    </row>
    <row r="99" spans="1:24" x14ac:dyDescent="0.25">
      <c r="A99" t="s">
        <v>92</v>
      </c>
      <c r="B99" t="s">
        <v>161</v>
      </c>
      <c r="C99" t="s">
        <v>116</v>
      </c>
      <c r="D99" t="s">
        <v>100</v>
      </c>
      <c r="E99" t="s">
        <v>216</v>
      </c>
      <c r="F99">
        <v>250000</v>
      </c>
      <c r="G99" t="s">
        <v>102</v>
      </c>
      <c r="H99">
        <v>600000</v>
      </c>
      <c r="I99">
        <v>0.46</v>
      </c>
      <c r="J99">
        <v>0.52</v>
      </c>
      <c r="K99">
        <v>0.82</v>
      </c>
      <c r="L99">
        <v>0.88</v>
      </c>
      <c r="M99" t="s">
        <v>98</v>
      </c>
      <c r="N99" t="s">
        <v>99</v>
      </c>
      <c r="X99" t="s">
        <v>253</v>
      </c>
    </row>
    <row r="100" spans="1:24" x14ac:dyDescent="0.25">
      <c r="A100" t="s">
        <v>92</v>
      </c>
      <c r="B100" t="s">
        <v>161</v>
      </c>
      <c r="C100" t="s">
        <v>116</v>
      </c>
      <c r="D100" t="s">
        <v>104</v>
      </c>
      <c r="E100" t="s">
        <v>105</v>
      </c>
      <c r="F100">
        <v>600000</v>
      </c>
      <c r="G100" t="s">
        <v>102</v>
      </c>
      <c r="I100">
        <v>0.49</v>
      </c>
      <c r="J100">
        <v>0.55000000000000004</v>
      </c>
      <c r="K100">
        <v>0.86</v>
      </c>
      <c r="L100">
        <v>0.93</v>
      </c>
      <c r="M100" t="s">
        <v>98</v>
      </c>
      <c r="N100" t="s">
        <v>99</v>
      </c>
      <c r="X100" t="s">
        <v>254</v>
      </c>
    </row>
    <row r="101" spans="1:24" x14ac:dyDescent="0.25">
      <c r="A101" t="s">
        <v>92</v>
      </c>
      <c r="B101" t="s">
        <v>163</v>
      </c>
      <c r="C101" t="s">
        <v>94</v>
      </c>
      <c r="D101" t="s">
        <v>95</v>
      </c>
      <c r="E101" t="s">
        <v>96</v>
      </c>
      <c r="F101">
        <v>50000</v>
      </c>
      <c r="G101" t="s">
        <v>97</v>
      </c>
      <c r="H101">
        <v>150000</v>
      </c>
      <c r="K101">
        <v>0.49</v>
      </c>
      <c r="L101">
        <v>0.67</v>
      </c>
      <c r="M101" t="s">
        <v>98</v>
      </c>
      <c r="N101" t="s">
        <v>99</v>
      </c>
      <c r="X101" t="s">
        <v>255</v>
      </c>
    </row>
    <row r="102" spans="1:24" x14ac:dyDescent="0.25">
      <c r="A102" t="s">
        <v>92</v>
      </c>
      <c r="B102" t="s">
        <v>163</v>
      </c>
      <c r="C102" t="s">
        <v>94</v>
      </c>
      <c r="D102" t="s">
        <v>100</v>
      </c>
      <c r="E102" t="s">
        <v>101</v>
      </c>
      <c r="F102">
        <v>150000</v>
      </c>
      <c r="G102" t="s">
        <v>102</v>
      </c>
      <c r="H102">
        <v>600000</v>
      </c>
      <c r="K102">
        <v>0.6</v>
      </c>
      <c r="L102">
        <v>0.77</v>
      </c>
      <c r="M102" t="s">
        <v>98</v>
      </c>
      <c r="N102" t="s">
        <v>99</v>
      </c>
    </row>
    <row r="103" spans="1:24" x14ac:dyDescent="0.25">
      <c r="A103" t="s">
        <v>92</v>
      </c>
      <c r="B103" t="s">
        <v>163</v>
      </c>
      <c r="C103" t="s">
        <v>94</v>
      </c>
      <c r="D103" t="s">
        <v>104</v>
      </c>
      <c r="E103" t="s">
        <v>105</v>
      </c>
      <c r="F103">
        <v>600000</v>
      </c>
      <c r="G103" t="s">
        <v>102</v>
      </c>
      <c r="K103">
        <v>0.79</v>
      </c>
      <c r="L103">
        <v>0.88</v>
      </c>
      <c r="M103" t="s">
        <v>98</v>
      </c>
      <c r="N103" t="s">
        <v>99</v>
      </c>
    </row>
    <row r="104" spans="1:24" x14ac:dyDescent="0.25">
      <c r="A104" t="s">
        <v>92</v>
      </c>
      <c r="B104" t="s">
        <v>165</v>
      </c>
      <c r="C104" t="s">
        <v>94</v>
      </c>
      <c r="D104" t="s">
        <v>95</v>
      </c>
      <c r="E104" t="s">
        <v>256</v>
      </c>
      <c r="F104">
        <v>50000</v>
      </c>
      <c r="G104" t="s">
        <v>97</v>
      </c>
      <c r="H104">
        <v>75000</v>
      </c>
      <c r="K104">
        <v>0.32</v>
      </c>
      <c r="L104">
        <v>0.47</v>
      </c>
      <c r="M104" t="s">
        <v>98</v>
      </c>
      <c r="N104" t="s">
        <v>99</v>
      </c>
    </row>
    <row r="105" spans="1:24" x14ac:dyDescent="0.25">
      <c r="A105" t="s">
        <v>92</v>
      </c>
      <c r="B105" t="s">
        <v>165</v>
      </c>
      <c r="C105" t="s">
        <v>94</v>
      </c>
      <c r="D105" t="s">
        <v>100</v>
      </c>
      <c r="E105" t="s">
        <v>257</v>
      </c>
      <c r="F105">
        <v>75000</v>
      </c>
      <c r="G105" t="s">
        <v>102</v>
      </c>
      <c r="H105">
        <v>165000</v>
      </c>
      <c r="K105">
        <v>0.36</v>
      </c>
      <c r="L105">
        <v>0.52</v>
      </c>
      <c r="M105" t="s">
        <v>98</v>
      </c>
      <c r="N105" t="s">
        <v>99</v>
      </c>
    </row>
    <row r="106" spans="1:24" x14ac:dyDescent="0.25">
      <c r="A106" t="s">
        <v>92</v>
      </c>
      <c r="B106" t="s">
        <v>165</v>
      </c>
      <c r="C106" t="s">
        <v>94</v>
      </c>
      <c r="D106" t="s">
        <v>104</v>
      </c>
      <c r="E106" t="s">
        <v>258</v>
      </c>
      <c r="F106">
        <v>165000</v>
      </c>
      <c r="G106" t="s">
        <v>102</v>
      </c>
      <c r="K106">
        <v>0.53</v>
      </c>
      <c r="L106">
        <v>0.73</v>
      </c>
      <c r="M106" t="s">
        <v>98</v>
      </c>
      <c r="N106" t="s">
        <v>99</v>
      </c>
    </row>
    <row r="107" spans="1:24" x14ac:dyDescent="0.25">
      <c r="A107" t="s">
        <v>92</v>
      </c>
      <c r="B107" t="s">
        <v>167</v>
      </c>
      <c r="C107" t="s">
        <v>116</v>
      </c>
      <c r="D107" t="s">
        <v>95</v>
      </c>
      <c r="E107" t="s">
        <v>259</v>
      </c>
      <c r="F107">
        <v>65000</v>
      </c>
      <c r="G107" t="s">
        <v>97</v>
      </c>
      <c r="H107">
        <v>750000</v>
      </c>
      <c r="I107">
        <v>0.44</v>
      </c>
      <c r="J107">
        <v>0.63</v>
      </c>
      <c r="K107">
        <v>0.7</v>
      </c>
      <c r="L107">
        <v>0.87</v>
      </c>
      <c r="M107" t="s">
        <v>98</v>
      </c>
      <c r="N107" t="s">
        <v>99</v>
      </c>
    </row>
    <row r="108" spans="1:24" x14ac:dyDescent="0.25">
      <c r="A108" t="s">
        <v>92</v>
      </c>
      <c r="B108" t="s">
        <v>167</v>
      </c>
      <c r="C108" t="s">
        <v>116</v>
      </c>
      <c r="D108" t="s">
        <v>100</v>
      </c>
      <c r="E108" t="s">
        <v>260</v>
      </c>
      <c r="F108">
        <v>750000</v>
      </c>
      <c r="G108" t="s">
        <v>102</v>
      </c>
      <c r="H108">
        <v>2000000</v>
      </c>
      <c r="I108">
        <v>0.54</v>
      </c>
      <c r="J108">
        <v>0.67</v>
      </c>
      <c r="K108">
        <v>0.84</v>
      </c>
      <c r="L108">
        <v>0.93</v>
      </c>
      <c r="M108" t="s">
        <v>98</v>
      </c>
      <c r="N108" t="s">
        <v>99</v>
      </c>
    </row>
    <row r="109" spans="1:24" x14ac:dyDescent="0.25">
      <c r="A109" t="s">
        <v>92</v>
      </c>
      <c r="B109" t="s">
        <v>167</v>
      </c>
      <c r="C109" t="s">
        <v>116</v>
      </c>
      <c r="D109" t="s">
        <v>104</v>
      </c>
      <c r="E109" t="s">
        <v>151</v>
      </c>
      <c r="F109">
        <v>2000000</v>
      </c>
      <c r="G109" t="s">
        <v>102</v>
      </c>
      <c r="I109">
        <v>0.62</v>
      </c>
      <c r="J109">
        <v>0.73</v>
      </c>
      <c r="K109">
        <v>0.89</v>
      </c>
      <c r="L109">
        <v>0.95</v>
      </c>
      <c r="M109" t="s">
        <v>98</v>
      </c>
      <c r="N109" t="s">
        <v>99</v>
      </c>
    </row>
    <row r="110" spans="1:24" x14ac:dyDescent="0.25">
      <c r="A110" t="s">
        <v>92</v>
      </c>
      <c r="B110" t="s">
        <v>168</v>
      </c>
      <c r="C110" t="s">
        <v>94</v>
      </c>
      <c r="D110" t="s">
        <v>95</v>
      </c>
      <c r="E110" t="s">
        <v>180</v>
      </c>
      <c r="F110">
        <v>50000</v>
      </c>
      <c r="G110" t="s">
        <v>97</v>
      </c>
      <c r="H110">
        <v>200000</v>
      </c>
      <c r="K110">
        <v>0.52</v>
      </c>
      <c r="L110">
        <v>0.69</v>
      </c>
      <c r="M110" t="s">
        <v>98</v>
      </c>
      <c r="N110" t="s">
        <v>99</v>
      </c>
    </row>
    <row r="111" spans="1:24" x14ac:dyDescent="0.25">
      <c r="A111" t="s">
        <v>92</v>
      </c>
      <c r="B111" t="s">
        <v>168</v>
      </c>
      <c r="C111" t="s">
        <v>94</v>
      </c>
      <c r="D111" t="s">
        <v>100</v>
      </c>
      <c r="E111" t="s">
        <v>223</v>
      </c>
      <c r="F111">
        <v>200000</v>
      </c>
      <c r="G111" t="s">
        <v>102</v>
      </c>
      <c r="H111">
        <v>500000</v>
      </c>
      <c r="K111">
        <v>0.62</v>
      </c>
      <c r="L111">
        <v>0.77</v>
      </c>
      <c r="M111" t="s">
        <v>98</v>
      </c>
      <c r="N111" t="s">
        <v>99</v>
      </c>
    </row>
    <row r="112" spans="1:24" x14ac:dyDescent="0.25">
      <c r="A112" t="s">
        <v>92</v>
      </c>
      <c r="B112" t="s">
        <v>168</v>
      </c>
      <c r="C112" t="s">
        <v>94</v>
      </c>
      <c r="D112" t="s">
        <v>104</v>
      </c>
      <c r="E112" t="s">
        <v>141</v>
      </c>
      <c r="F112">
        <v>500000</v>
      </c>
      <c r="G112" t="s">
        <v>102</v>
      </c>
      <c r="K112">
        <v>0.77</v>
      </c>
      <c r="L112">
        <v>0.88</v>
      </c>
      <c r="M112" t="s">
        <v>98</v>
      </c>
      <c r="N112" t="s">
        <v>99</v>
      </c>
    </row>
    <row r="113" spans="1:14" x14ac:dyDescent="0.25">
      <c r="A113" t="s">
        <v>92</v>
      </c>
      <c r="B113" t="s">
        <v>170</v>
      </c>
      <c r="C113" t="s">
        <v>116</v>
      </c>
      <c r="D113" t="s">
        <v>95</v>
      </c>
      <c r="E113" t="s">
        <v>261</v>
      </c>
      <c r="F113">
        <v>65000</v>
      </c>
      <c r="G113" t="s">
        <v>97</v>
      </c>
      <c r="H113">
        <v>350000</v>
      </c>
      <c r="I113">
        <v>0.36</v>
      </c>
      <c r="J113">
        <v>0.55000000000000004</v>
      </c>
      <c r="K113">
        <v>0.54</v>
      </c>
      <c r="L113">
        <v>0.77</v>
      </c>
      <c r="M113" t="s">
        <v>98</v>
      </c>
      <c r="N113" t="s">
        <v>99</v>
      </c>
    </row>
    <row r="114" spans="1:14" x14ac:dyDescent="0.25">
      <c r="A114" t="s">
        <v>92</v>
      </c>
      <c r="B114" t="s">
        <v>170</v>
      </c>
      <c r="C114" t="s">
        <v>116</v>
      </c>
      <c r="D114" t="s">
        <v>100</v>
      </c>
      <c r="E114" t="s">
        <v>156</v>
      </c>
      <c r="F114">
        <v>350000</v>
      </c>
      <c r="G114" t="s">
        <v>102</v>
      </c>
      <c r="I114">
        <v>0.44</v>
      </c>
      <c r="J114">
        <v>0.63</v>
      </c>
      <c r="K114">
        <v>0.76</v>
      </c>
      <c r="L114">
        <v>0.87</v>
      </c>
      <c r="M114" t="s">
        <v>98</v>
      </c>
      <c r="N114" t="s">
        <v>99</v>
      </c>
    </row>
    <row r="115" spans="1:14" x14ac:dyDescent="0.25">
      <c r="A115" t="s">
        <v>92</v>
      </c>
      <c r="B115" t="s">
        <v>172</v>
      </c>
      <c r="C115" t="s">
        <v>94</v>
      </c>
      <c r="D115" t="s">
        <v>95</v>
      </c>
      <c r="E115" t="s">
        <v>117</v>
      </c>
      <c r="F115">
        <v>50000</v>
      </c>
      <c r="G115" t="s">
        <v>97</v>
      </c>
      <c r="H115">
        <v>250000</v>
      </c>
      <c r="K115">
        <v>0.61</v>
      </c>
      <c r="L115">
        <v>0.74</v>
      </c>
      <c r="M115" t="s">
        <v>98</v>
      </c>
      <c r="N115" t="s">
        <v>99</v>
      </c>
    </row>
    <row r="116" spans="1:14" x14ac:dyDescent="0.25">
      <c r="A116" t="s">
        <v>92</v>
      </c>
      <c r="B116" t="s">
        <v>172</v>
      </c>
      <c r="C116" t="s">
        <v>94</v>
      </c>
      <c r="D116" t="s">
        <v>100</v>
      </c>
      <c r="E116" t="s">
        <v>262</v>
      </c>
      <c r="F116">
        <v>250000</v>
      </c>
      <c r="G116" t="s">
        <v>102</v>
      </c>
      <c r="H116">
        <v>400000</v>
      </c>
      <c r="K116">
        <v>0.69</v>
      </c>
      <c r="L116">
        <v>0.81</v>
      </c>
      <c r="M116" t="s">
        <v>98</v>
      </c>
      <c r="N116" t="s">
        <v>99</v>
      </c>
    </row>
    <row r="117" spans="1:14" x14ac:dyDescent="0.25">
      <c r="A117" t="s">
        <v>92</v>
      </c>
      <c r="B117" t="s">
        <v>172</v>
      </c>
      <c r="C117" t="s">
        <v>94</v>
      </c>
      <c r="D117" t="s">
        <v>104</v>
      </c>
      <c r="E117" t="s">
        <v>114</v>
      </c>
      <c r="F117">
        <v>400000</v>
      </c>
      <c r="G117" t="s">
        <v>102</v>
      </c>
      <c r="K117">
        <v>0.78</v>
      </c>
      <c r="L117">
        <v>0.87</v>
      </c>
      <c r="M117" t="s">
        <v>98</v>
      </c>
      <c r="N117" t="s">
        <v>99</v>
      </c>
    </row>
    <row r="118" spans="1:14" x14ac:dyDescent="0.25">
      <c r="A118" t="s">
        <v>92</v>
      </c>
      <c r="B118" t="s">
        <v>173</v>
      </c>
      <c r="C118" t="s">
        <v>116</v>
      </c>
      <c r="D118" t="s">
        <v>95</v>
      </c>
      <c r="E118" t="s">
        <v>143</v>
      </c>
      <c r="F118">
        <v>65000</v>
      </c>
      <c r="G118" t="s">
        <v>97</v>
      </c>
      <c r="H118">
        <v>250000</v>
      </c>
      <c r="I118">
        <v>0.42</v>
      </c>
      <c r="J118">
        <v>0.49</v>
      </c>
      <c r="K118">
        <v>0.79</v>
      </c>
      <c r="L118">
        <v>0.87</v>
      </c>
      <c r="M118" t="s">
        <v>98</v>
      </c>
      <c r="N118" t="s">
        <v>99</v>
      </c>
    </row>
    <row r="119" spans="1:14" x14ac:dyDescent="0.25">
      <c r="A119" t="s">
        <v>92</v>
      </c>
      <c r="B119" t="s">
        <v>173</v>
      </c>
      <c r="C119" t="s">
        <v>116</v>
      </c>
      <c r="D119" t="s">
        <v>100</v>
      </c>
      <c r="E119" t="s">
        <v>212</v>
      </c>
      <c r="F119">
        <v>250000</v>
      </c>
      <c r="G119" t="s">
        <v>102</v>
      </c>
      <c r="H119">
        <v>500000</v>
      </c>
      <c r="I119">
        <v>0.45</v>
      </c>
      <c r="J119">
        <v>0.51</v>
      </c>
      <c r="K119">
        <v>0.79</v>
      </c>
      <c r="L119">
        <v>0.88</v>
      </c>
      <c r="M119" t="s">
        <v>98</v>
      </c>
      <c r="N119" t="s">
        <v>99</v>
      </c>
    </row>
    <row r="120" spans="1:14" x14ac:dyDescent="0.25">
      <c r="A120" t="s">
        <v>92</v>
      </c>
      <c r="B120" t="s">
        <v>173</v>
      </c>
      <c r="C120" t="s">
        <v>116</v>
      </c>
      <c r="D120" t="s">
        <v>104</v>
      </c>
      <c r="E120" t="s">
        <v>141</v>
      </c>
      <c r="F120">
        <v>500000</v>
      </c>
      <c r="G120" t="s">
        <v>102</v>
      </c>
      <c r="I120">
        <v>0.45</v>
      </c>
      <c r="J120">
        <v>0.52</v>
      </c>
      <c r="K120">
        <v>0.81</v>
      </c>
      <c r="L120">
        <v>0.91</v>
      </c>
      <c r="M120" t="s">
        <v>98</v>
      </c>
      <c r="N120" t="s">
        <v>99</v>
      </c>
    </row>
    <row r="121" spans="1:14" x14ac:dyDescent="0.25">
      <c r="A121" t="s">
        <v>92</v>
      </c>
      <c r="B121" t="s">
        <v>175</v>
      </c>
      <c r="C121" t="s">
        <v>116</v>
      </c>
      <c r="D121" t="s">
        <v>95</v>
      </c>
      <c r="E121" t="s">
        <v>147</v>
      </c>
      <c r="F121">
        <v>65000</v>
      </c>
      <c r="G121" t="s">
        <v>97</v>
      </c>
      <c r="H121">
        <v>500000</v>
      </c>
      <c r="I121">
        <v>0.59</v>
      </c>
      <c r="J121">
        <v>0.67</v>
      </c>
      <c r="K121">
        <v>0.8</v>
      </c>
      <c r="L121">
        <v>0.89</v>
      </c>
      <c r="M121" t="s">
        <v>98</v>
      </c>
      <c r="N121" t="s">
        <v>99</v>
      </c>
    </row>
    <row r="122" spans="1:14" x14ac:dyDescent="0.25">
      <c r="A122" t="s">
        <v>92</v>
      </c>
      <c r="B122" t="s">
        <v>175</v>
      </c>
      <c r="C122" t="s">
        <v>116</v>
      </c>
      <c r="D122" t="s">
        <v>100</v>
      </c>
      <c r="E122" t="s">
        <v>263</v>
      </c>
      <c r="F122">
        <v>500000</v>
      </c>
      <c r="G122" t="s">
        <v>102</v>
      </c>
      <c r="H122">
        <v>1000000</v>
      </c>
      <c r="I122">
        <v>0.56000000000000005</v>
      </c>
      <c r="J122">
        <v>0.67</v>
      </c>
      <c r="K122">
        <v>0.87</v>
      </c>
      <c r="L122">
        <v>0.93</v>
      </c>
      <c r="M122" t="s">
        <v>98</v>
      </c>
      <c r="N122" t="s">
        <v>99</v>
      </c>
    </row>
    <row r="123" spans="1:14" x14ac:dyDescent="0.25">
      <c r="A123" t="s">
        <v>92</v>
      </c>
      <c r="B123" t="s">
        <v>175</v>
      </c>
      <c r="C123" t="s">
        <v>116</v>
      </c>
      <c r="D123" t="s">
        <v>104</v>
      </c>
      <c r="E123" t="s">
        <v>264</v>
      </c>
      <c r="F123">
        <v>1000000</v>
      </c>
      <c r="G123" t="s">
        <v>102</v>
      </c>
      <c r="I123">
        <v>0.64</v>
      </c>
      <c r="J123">
        <v>0.73</v>
      </c>
      <c r="K123">
        <v>0.9</v>
      </c>
      <c r="L123">
        <v>0.94</v>
      </c>
      <c r="M123" t="s">
        <v>98</v>
      </c>
      <c r="N123" t="s">
        <v>99</v>
      </c>
    </row>
    <row r="124" spans="1:14" x14ac:dyDescent="0.25">
      <c r="A124" t="s">
        <v>92</v>
      </c>
      <c r="B124" t="s">
        <v>177</v>
      </c>
      <c r="C124" t="s">
        <v>116</v>
      </c>
      <c r="D124" t="s">
        <v>95</v>
      </c>
      <c r="E124" t="s">
        <v>265</v>
      </c>
      <c r="F124">
        <v>65000</v>
      </c>
      <c r="G124" t="s">
        <v>97</v>
      </c>
      <c r="H124">
        <v>800000</v>
      </c>
      <c r="I124">
        <v>0.38</v>
      </c>
      <c r="J124">
        <v>0.53</v>
      </c>
      <c r="K124">
        <v>0.65</v>
      </c>
      <c r="L124">
        <v>0.83</v>
      </c>
      <c r="M124" t="s">
        <v>98</v>
      </c>
      <c r="N124" t="s">
        <v>99</v>
      </c>
    </row>
    <row r="125" spans="1:14" x14ac:dyDescent="0.25">
      <c r="A125" t="s">
        <v>92</v>
      </c>
      <c r="B125" t="s">
        <v>177</v>
      </c>
      <c r="C125" t="s">
        <v>116</v>
      </c>
      <c r="D125" t="s">
        <v>100</v>
      </c>
      <c r="E125" t="s">
        <v>266</v>
      </c>
      <c r="F125">
        <v>800000</v>
      </c>
      <c r="G125" t="s">
        <v>102</v>
      </c>
      <c r="H125">
        <v>2000000</v>
      </c>
      <c r="I125">
        <v>0.49</v>
      </c>
      <c r="J125">
        <v>0.61</v>
      </c>
      <c r="K125">
        <v>0.86</v>
      </c>
      <c r="L125">
        <v>0.93</v>
      </c>
      <c r="M125" t="s">
        <v>98</v>
      </c>
      <c r="N125" t="s">
        <v>99</v>
      </c>
    </row>
    <row r="126" spans="1:14" x14ac:dyDescent="0.25">
      <c r="A126" t="s">
        <v>92</v>
      </c>
      <c r="B126" t="s">
        <v>177</v>
      </c>
      <c r="C126" t="s">
        <v>116</v>
      </c>
      <c r="D126" t="s">
        <v>104</v>
      </c>
      <c r="E126" t="s">
        <v>151</v>
      </c>
      <c r="F126">
        <v>2000000</v>
      </c>
      <c r="G126" t="s">
        <v>102</v>
      </c>
      <c r="I126">
        <v>0.51</v>
      </c>
      <c r="J126">
        <v>0.65</v>
      </c>
      <c r="K126">
        <v>0.88</v>
      </c>
      <c r="L126">
        <v>0.93</v>
      </c>
      <c r="M126" t="s">
        <v>98</v>
      </c>
      <c r="N126" t="s">
        <v>99</v>
      </c>
    </row>
    <row r="127" spans="1:14" x14ac:dyDescent="0.25">
      <c r="A127" t="s">
        <v>92</v>
      </c>
      <c r="B127" t="s">
        <v>179</v>
      </c>
      <c r="C127" t="s">
        <v>116</v>
      </c>
      <c r="D127" t="s">
        <v>95</v>
      </c>
      <c r="E127" t="s">
        <v>164</v>
      </c>
      <c r="F127">
        <v>65000</v>
      </c>
      <c r="G127" t="s">
        <v>97</v>
      </c>
      <c r="H127">
        <v>300000</v>
      </c>
      <c r="I127">
        <v>0.42</v>
      </c>
      <c r="J127">
        <v>0.53</v>
      </c>
      <c r="K127">
        <v>0.68</v>
      </c>
      <c r="L127">
        <v>0.82</v>
      </c>
      <c r="M127" t="s">
        <v>98</v>
      </c>
      <c r="N127" t="s">
        <v>99</v>
      </c>
    </row>
    <row r="128" spans="1:14" x14ac:dyDescent="0.25">
      <c r="A128" t="s">
        <v>92</v>
      </c>
      <c r="B128" t="s">
        <v>179</v>
      </c>
      <c r="C128" t="s">
        <v>116</v>
      </c>
      <c r="D128" t="s">
        <v>100</v>
      </c>
      <c r="E128" t="s">
        <v>166</v>
      </c>
      <c r="F128">
        <v>300000</v>
      </c>
      <c r="G128" t="s">
        <v>102</v>
      </c>
      <c r="H128">
        <v>600000</v>
      </c>
      <c r="I128">
        <v>0.45</v>
      </c>
      <c r="J128">
        <v>0.53</v>
      </c>
      <c r="K128">
        <v>0.79</v>
      </c>
      <c r="L128">
        <v>0.9</v>
      </c>
      <c r="M128" t="s">
        <v>98</v>
      </c>
      <c r="N128" t="s">
        <v>99</v>
      </c>
    </row>
    <row r="129" spans="1:14" x14ac:dyDescent="0.25">
      <c r="A129" t="s">
        <v>92</v>
      </c>
      <c r="B129" t="s">
        <v>179</v>
      </c>
      <c r="C129" t="s">
        <v>116</v>
      </c>
      <c r="D129" t="s">
        <v>104</v>
      </c>
      <c r="E129" t="s">
        <v>105</v>
      </c>
      <c r="F129">
        <v>600000</v>
      </c>
      <c r="G129" t="s">
        <v>102</v>
      </c>
      <c r="I129">
        <v>0.47</v>
      </c>
      <c r="J129">
        <v>0.54</v>
      </c>
      <c r="K129">
        <v>0.83</v>
      </c>
      <c r="L129">
        <v>0.91</v>
      </c>
      <c r="M129" t="s">
        <v>98</v>
      </c>
      <c r="N129" t="s">
        <v>99</v>
      </c>
    </row>
    <row r="130" spans="1:14" x14ac:dyDescent="0.25">
      <c r="A130" t="s">
        <v>92</v>
      </c>
      <c r="B130" t="s">
        <v>181</v>
      </c>
      <c r="C130" t="s">
        <v>116</v>
      </c>
      <c r="D130" t="s">
        <v>95</v>
      </c>
      <c r="E130" t="s">
        <v>267</v>
      </c>
      <c r="F130">
        <v>65000</v>
      </c>
      <c r="G130" t="s">
        <v>97</v>
      </c>
      <c r="H130">
        <v>180000</v>
      </c>
      <c r="I130">
        <v>0.44</v>
      </c>
      <c r="J130">
        <v>0.59</v>
      </c>
      <c r="K130">
        <v>0.71</v>
      </c>
      <c r="L130">
        <v>0.83</v>
      </c>
      <c r="M130" t="s">
        <v>98</v>
      </c>
      <c r="N130" t="s">
        <v>99</v>
      </c>
    </row>
    <row r="131" spans="1:14" x14ac:dyDescent="0.25">
      <c r="A131" t="s">
        <v>92</v>
      </c>
      <c r="B131" t="s">
        <v>181</v>
      </c>
      <c r="C131" t="s">
        <v>116</v>
      </c>
      <c r="D131" t="s">
        <v>100</v>
      </c>
      <c r="E131" t="s">
        <v>268</v>
      </c>
      <c r="F131">
        <v>180000</v>
      </c>
      <c r="G131" t="s">
        <v>102</v>
      </c>
      <c r="H131">
        <v>600000</v>
      </c>
      <c r="I131">
        <v>0.48</v>
      </c>
      <c r="J131">
        <v>0.59</v>
      </c>
      <c r="K131">
        <v>0.79</v>
      </c>
      <c r="L131">
        <v>0.89</v>
      </c>
      <c r="M131" t="s">
        <v>98</v>
      </c>
      <c r="N131" t="s">
        <v>99</v>
      </c>
    </row>
    <row r="132" spans="1:14" x14ac:dyDescent="0.25">
      <c r="A132" t="s">
        <v>92</v>
      </c>
      <c r="B132" t="s">
        <v>181</v>
      </c>
      <c r="C132" t="s">
        <v>116</v>
      </c>
      <c r="D132" t="s">
        <v>104</v>
      </c>
      <c r="E132" t="s">
        <v>105</v>
      </c>
      <c r="F132">
        <v>600000</v>
      </c>
      <c r="G132" t="s">
        <v>102</v>
      </c>
      <c r="I132">
        <v>0.49</v>
      </c>
      <c r="J132">
        <v>0.55000000000000004</v>
      </c>
      <c r="K132">
        <v>0.84</v>
      </c>
      <c r="L132">
        <v>0.91</v>
      </c>
      <c r="M132" t="s">
        <v>98</v>
      </c>
      <c r="N132" t="s">
        <v>99</v>
      </c>
    </row>
    <row r="133" spans="1:14" x14ac:dyDescent="0.25">
      <c r="A133" t="s">
        <v>92</v>
      </c>
      <c r="B133" t="s">
        <v>183</v>
      </c>
      <c r="C133" t="s">
        <v>116</v>
      </c>
      <c r="D133" t="s">
        <v>95</v>
      </c>
      <c r="E133" t="s">
        <v>269</v>
      </c>
      <c r="F133">
        <v>65000</v>
      </c>
      <c r="G133" t="s">
        <v>97</v>
      </c>
      <c r="H133">
        <v>450000</v>
      </c>
      <c r="I133">
        <v>0.59</v>
      </c>
      <c r="J133">
        <v>0.7</v>
      </c>
      <c r="K133">
        <v>0.79</v>
      </c>
      <c r="L133">
        <v>0.88</v>
      </c>
      <c r="M133" t="s">
        <v>98</v>
      </c>
      <c r="N133" t="s">
        <v>99</v>
      </c>
    </row>
    <row r="134" spans="1:14" x14ac:dyDescent="0.25">
      <c r="A134" t="s">
        <v>92</v>
      </c>
      <c r="B134" t="s">
        <v>183</v>
      </c>
      <c r="C134" t="s">
        <v>116</v>
      </c>
      <c r="D134" t="s">
        <v>100</v>
      </c>
      <c r="E134" t="s">
        <v>270</v>
      </c>
      <c r="F134">
        <v>450000</v>
      </c>
      <c r="G134" t="s">
        <v>102</v>
      </c>
      <c r="H134">
        <v>1100000</v>
      </c>
      <c r="I134">
        <v>0.66</v>
      </c>
      <c r="J134">
        <v>0.74</v>
      </c>
      <c r="K134">
        <v>0.87</v>
      </c>
      <c r="L134">
        <v>0.92</v>
      </c>
      <c r="M134" t="s">
        <v>98</v>
      </c>
      <c r="N134" t="s">
        <v>99</v>
      </c>
    </row>
    <row r="135" spans="1:14" x14ac:dyDescent="0.25">
      <c r="A135" t="s">
        <v>92</v>
      </c>
      <c r="B135" t="s">
        <v>183</v>
      </c>
      <c r="C135" t="s">
        <v>116</v>
      </c>
      <c r="D135" t="s">
        <v>104</v>
      </c>
      <c r="E135" t="s">
        <v>271</v>
      </c>
      <c r="F135">
        <v>1100000</v>
      </c>
      <c r="G135" t="s">
        <v>102</v>
      </c>
      <c r="I135">
        <v>0.7</v>
      </c>
      <c r="J135">
        <v>0.77</v>
      </c>
      <c r="K135">
        <v>0.92</v>
      </c>
      <c r="L135">
        <v>0.96</v>
      </c>
      <c r="M135" t="s">
        <v>98</v>
      </c>
      <c r="N135" t="s">
        <v>99</v>
      </c>
    </row>
    <row r="136" spans="1:14" x14ac:dyDescent="0.25">
      <c r="A136" t="s">
        <v>92</v>
      </c>
      <c r="B136" t="s">
        <v>184</v>
      </c>
      <c r="C136" t="s">
        <v>116</v>
      </c>
      <c r="D136" t="s">
        <v>95</v>
      </c>
      <c r="E136" t="s">
        <v>272</v>
      </c>
      <c r="F136">
        <v>75000</v>
      </c>
      <c r="G136" t="s">
        <v>97</v>
      </c>
      <c r="H136">
        <v>500000</v>
      </c>
      <c r="I136">
        <v>0.67</v>
      </c>
      <c r="J136">
        <v>0.79</v>
      </c>
      <c r="K136">
        <v>0.82</v>
      </c>
      <c r="L136">
        <v>0.9</v>
      </c>
      <c r="M136" t="s">
        <v>98</v>
      </c>
      <c r="N136" t="s">
        <v>99</v>
      </c>
    </row>
    <row r="137" spans="1:14" x14ac:dyDescent="0.25">
      <c r="A137" t="s">
        <v>92</v>
      </c>
      <c r="B137" t="s">
        <v>184</v>
      </c>
      <c r="C137" t="s">
        <v>116</v>
      </c>
      <c r="D137" t="s">
        <v>100</v>
      </c>
      <c r="E137" t="s">
        <v>149</v>
      </c>
      <c r="F137">
        <v>500000</v>
      </c>
      <c r="G137" t="s">
        <v>102</v>
      </c>
      <c r="H137">
        <v>2000000</v>
      </c>
      <c r="I137">
        <v>0.68</v>
      </c>
      <c r="J137">
        <v>0.81</v>
      </c>
      <c r="K137">
        <v>0.91</v>
      </c>
      <c r="L137">
        <v>0.96</v>
      </c>
      <c r="M137" t="s">
        <v>98</v>
      </c>
      <c r="N137" t="s">
        <v>99</v>
      </c>
    </row>
    <row r="138" spans="1:14" x14ac:dyDescent="0.25">
      <c r="A138" t="s">
        <v>92</v>
      </c>
      <c r="B138" t="s">
        <v>184</v>
      </c>
      <c r="C138" t="s">
        <v>116</v>
      </c>
      <c r="D138" t="s">
        <v>104</v>
      </c>
      <c r="E138" t="s">
        <v>151</v>
      </c>
      <c r="F138">
        <v>2000000</v>
      </c>
      <c r="G138" t="s">
        <v>102</v>
      </c>
      <c r="I138">
        <v>0.78</v>
      </c>
      <c r="J138">
        <v>0.87</v>
      </c>
      <c r="K138">
        <v>0.95</v>
      </c>
      <c r="L138">
        <v>0.98</v>
      </c>
      <c r="M138" t="s">
        <v>98</v>
      </c>
      <c r="N138" t="s">
        <v>99</v>
      </c>
    </row>
    <row r="139" spans="1:14" x14ac:dyDescent="0.25">
      <c r="A139" t="s">
        <v>92</v>
      </c>
      <c r="B139" t="s">
        <v>185</v>
      </c>
      <c r="C139" t="s">
        <v>94</v>
      </c>
      <c r="D139" t="s">
        <v>95</v>
      </c>
      <c r="E139" t="s">
        <v>273</v>
      </c>
      <c r="F139">
        <v>50000</v>
      </c>
      <c r="G139" t="s">
        <v>97</v>
      </c>
      <c r="H139">
        <v>125000</v>
      </c>
      <c r="K139">
        <v>0.49</v>
      </c>
      <c r="L139">
        <v>0.66</v>
      </c>
      <c r="M139" t="s">
        <v>98</v>
      </c>
      <c r="N139" t="s">
        <v>99</v>
      </c>
    </row>
    <row r="140" spans="1:14" x14ac:dyDescent="0.25">
      <c r="A140" t="s">
        <v>92</v>
      </c>
      <c r="B140" t="s">
        <v>185</v>
      </c>
      <c r="C140" t="s">
        <v>94</v>
      </c>
      <c r="D140" t="s">
        <v>100</v>
      </c>
      <c r="E140" t="s">
        <v>274</v>
      </c>
      <c r="F140">
        <v>125000</v>
      </c>
      <c r="G140" t="s">
        <v>102</v>
      </c>
      <c r="H140">
        <v>525000</v>
      </c>
      <c r="K140">
        <v>0.66</v>
      </c>
      <c r="L140">
        <v>0.8</v>
      </c>
      <c r="M140" t="s">
        <v>98</v>
      </c>
      <c r="N140" t="s">
        <v>99</v>
      </c>
    </row>
    <row r="141" spans="1:14" x14ac:dyDescent="0.25">
      <c r="A141" t="s">
        <v>92</v>
      </c>
      <c r="B141" t="s">
        <v>185</v>
      </c>
      <c r="C141" t="s">
        <v>94</v>
      </c>
      <c r="D141" t="s">
        <v>104</v>
      </c>
      <c r="E141" t="s">
        <v>275</v>
      </c>
      <c r="F141">
        <v>525000</v>
      </c>
      <c r="G141" t="s">
        <v>102</v>
      </c>
      <c r="K141">
        <v>0.77</v>
      </c>
      <c r="L141">
        <v>0.88</v>
      </c>
      <c r="M141" t="s">
        <v>98</v>
      </c>
      <c r="N141" t="s">
        <v>99</v>
      </c>
    </row>
    <row r="142" spans="1:14" x14ac:dyDescent="0.25">
      <c r="A142" t="s">
        <v>92</v>
      </c>
      <c r="B142" t="s">
        <v>187</v>
      </c>
      <c r="C142" t="s">
        <v>116</v>
      </c>
      <c r="D142" t="s">
        <v>95</v>
      </c>
      <c r="E142" t="s">
        <v>147</v>
      </c>
      <c r="F142">
        <v>65000</v>
      </c>
      <c r="G142" t="s">
        <v>97</v>
      </c>
      <c r="H142">
        <v>500000</v>
      </c>
      <c r="I142">
        <v>0.46</v>
      </c>
      <c r="J142">
        <v>0.56999999999999995</v>
      </c>
      <c r="K142">
        <v>0.74</v>
      </c>
      <c r="L142">
        <v>0.87</v>
      </c>
      <c r="M142" t="s">
        <v>98</v>
      </c>
      <c r="N142" t="s">
        <v>99</v>
      </c>
    </row>
    <row r="143" spans="1:14" x14ac:dyDescent="0.25">
      <c r="A143" t="s">
        <v>92</v>
      </c>
      <c r="B143" t="s">
        <v>187</v>
      </c>
      <c r="C143" t="s">
        <v>116</v>
      </c>
      <c r="D143" t="s">
        <v>100</v>
      </c>
      <c r="E143" t="s">
        <v>263</v>
      </c>
      <c r="F143">
        <v>500000</v>
      </c>
      <c r="G143" t="s">
        <v>102</v>
      </c>
      <c r="H143">
        <v>1000000</v>
      </c>
      <c r="I143">
        <v>0.49</v>
      </c>
      <c r="J143">
        <v>0.56999999999999995</v>
      </c>
      <c r="K143">
        <v>0.82</v>
      </c>
      <c r="L143">
        <v>0.91</v>
      </c>
      <c r="M143" t="s">
        <v>98</v>
      </c>
      <c r="N143" t="s">
        <v>99</v>
      </c>
    </row>
    <row r="144" spans="1:14" x14ac:dyDescent="0.25">
      <c r="A144" t="s">
        <v>92</v>
      </c>
      <c r="B144" t="s">
        <v>187</v>
      </c>
      <c r="C144" t="s">
        <v>116</v>
      </c>
      <c r="D144" t="s">
        <v>104</v>
      </c>
      <c r="E144" t="s">
        <v>264</v>
      </c>
      <c r="F144">
        <v>1000000</v>
      </c>
      <c r="G144" t="s">
        <v>102</v>
      </c>
      <c r="I144">
        <v>0.53</v>
      </c>
      <c r="J144">
        <v>0.57999999999999996</v>
      </c>
      <c r="K144">
        <v>0.86</v>
      </c>
      <c r="L144">
        <v>0.94</v>
      </c>
      <c r="M144" t="s">
        <v>98</v>
      </c>
      <c r="N144" t="s">
        <v>99</v>
      </c>
    </row>
    <row r="145" spans="1:14" x14ac:dyDescent="0.25">
      <c r="A145" t="s">
        <v>92</v>
      </c>
      <c r="B145" t="s">
        <v>188</v>
      </c>
      <c r="C145" t="s">
        <v>116</v>
      </c>
      <c r="D145" t="s">
        <v>95</v>
      </c>
      <c r="E145" t="s">
        <v>143</v>
      </c>
      <c r="F145">
        <v>65000</v>
      </c>
      <c r="G145" t="s">
        <v>97</v>
      </c>
      <c r="H145">
        <v>250000</v>
      </c>
      <c r="I145">
        <v>0.34</v>
      </c>
      <c r="J145">
        <v>0.53</v>
      </c>
      <c r="K145">
        <v>0.68</v>
      </c>
      <c r="L145">
        <v>0.82</v>
      </c>
      <c r="M145" t="s">
        <v>98</v>
      </c>
      <c r="N145" t="s">
        <v>99</v>
      </c>
    </row>
    <row r="146" spans="1:14" x14ac:dyDescent="0.25">
      <c r="A146" t="s">
        <v>92</v>
      </c>
      <c r="B146" t="s">
        <v>188</v>
      </c>
      <c r="C146" t="s">
        <v>116</v>
      </c>
      <c r="D146" t="s">
        <v>100</v>
      </c>
      <c r="E146" t="s">
        <v>119</v>
      </c>
      <c r="F146">
        <v>250000</v>
      </c>
      <c r="G146" t="s">
        <v>102</v>
      </c>
      <c r="H146">
        <v>750000</v>
      </c>
      <c r="I146">
        <v>0.41</v>
      </c>
      <c r="J146">
        <v>0.54</v>
      </c>
      <c r="K146">
        <v>0.75</v>
      </c>
      <c r="L146">
        <v>0.87</v>
      </c>
      <c r="M146" t="s">
        <v>98</v>
      </c>
      <c r="N146" t="s">
        <v>99</v>
      </c>
    </row>
    <row r="147" spans="1:14" x14ac:dyDescent="0.25">
      <c r="A147" t="s">
        <v>92</v>
      </c>
      <c r="B147" t="s">
        <v>188</v>
      </c>
      <c r="C147" t="s">
        <v>116</v>
      </c>
      <c r="D147" t="s">
        <v>104</v>
      </c>
      <c r="E147" t="s">
        <v>121</v>
      </c>
      <c r="F147">
        <v>750000</v>
      </c>
      <c r="G147" t="s">
        <v>102</v>
      </c>
      <c r="I147">
        <v>0.47</v>
      </c>
      <c r="J147">
        <v>0.56000000000000005</v>
      </c>
      <c r="K147">
        <v>0.85</v>
      </c>
      <c r="L147">
        <v>0.92</v>
      </c>
      <c r="M147" t="s">
        <v>98</v>
      </c>
      <c r="N147" t="s">
        <v>99</v>
      </c>
    </row>
    <row r="148" spans="1:14" x14ac:dyDescent="0.25">
      <c r="A148" t="s">
        <v>92</v>
      </c>
      <c r="B148" t="s">
        <v>190</v>
      </c>
      <c r="C148" t="s">
        <v>116</v>
      </c>
      <c r="D148" t="s">
        <v>95</v>
      </c>
      <c r="E148" t="s">
        <v>128</v>
      </c>
      <c r="F148">
        <v>65000</v>
      </c>
      <c r="G148" t="s">
        <v>97</v>
      </c>
      <c r="H148">
        <v>150000</v>
      </c>
      <c r="I148">
        <v>0.42</v>
      </c>
      <c r="J148">
        <v>0.59</v>
      </c>
      <c r="K148">
        <v>0.76</v>
      </c>
      <c r="L148">
        <v>0.88</v>
      </c>
      <c r="M148" t="s">
        <v>98</v>
      </c>
      <c r="N148" t="s">
        <v>99</v>
      </c>
    </row>
    <row r="149" spans="1:14" x14ac:dyDescent="0.25">
      <c r="A149" t="s">
        <v>92</v>
      </c>
      <c r="B149" t="s">
        <v>190</v>
      </c>
      <c r="C149" t="s">
        <v>116</v>
      </c>
      <c r="D149" t="s">
        <v>100</v>
      </c>
      <c r="E149" t="s">
        <v>101</v>
      </c>
      <c r="F149">
        <v>150000</v>
      </c>
      <c r="G149" t="s">
        <v>102</v>
      </c>
      <c r="H149">
        <v>600000</v>
      </c>
      <c r="I149">
        <v>0.48</v>
      </c>
      <c r="J149">
        <v>0.56000000000000005</v>
      </c>
      <c r="K149">
        <v>0.79</v>
      </c>
      <c r="L149">
        <v>0.89</v>
      </c>
      <c r="M149" t="s">
        <v>98</v>
      </c>
      <c r="N149" t="s">
        <v>99</v>
      </c>
    </row>
    <row r="150" spans="1:14" x14ac:dyDescent="0.25">
      <c r="A150" t="s">
        <v>92</v>
      </c>
      <c r="B150" t="s">
        <v>190</v>
      </c>
      <c r="C150" t="s">
        <v>116</v>
      </c>
      <c r="D150" t="s">
        <v>104</v>
      </c>
      <c r="E150" t="s">
        <v>105</v>
      </c>
      <c r="F150">
        <v>600000</v>
      </c>
      <c r="G150" t="s">
        <v>102</v>
      </c>
      <c r="I150">
        <v>0.49</v>
      </c>
      <c r="J150">
        <v>0.56999999999999995</v>
      </c>
      <c r="K150">
        <v>0.84</v>
      </c>
      <c r="L150">
        <v>0.91</v>
      </c>
      <c r="M150" t="s">
        <v>98</v>
      </c>
      <c r="N150" t="s">
        <v>99</v>
      </c>
    </row>
    <row r="151" spans="1:14" x14ac:dyDescent="0.25">
      <c r="A151" t="s">
        <v>92</v>
      </c>
      <c r="B151" t="s">
        <v>192</v>
      </c>
      <c r="C151" t="s">
        <v>94</v>
      </c>
      <c r="D151" t="s">
        <v>95</v>
      </c>
      <c r="E151" t="s">
        <v>180</v>
      </c>
      <c r="F151">
        <v>50000</v>
      </c>
      <c r="G151" t="s">
        <v>97</v>
      </c>
      <c r="H151">
        <v>200000</v>
      </c>
      <c r="K151">
        <v>0.48</v>
      </c>
      <c r="L151">
        <v>0.67</v>
      </c>
      <c r="M151" t="s">
        <v>98</v>
      </c>
      <c r="N151" t="s">
        <v>99</v>
      </c>
    </row>
    <row r="152" spans="1:14" x14ac:dyDescent="0.25">
      <c r="A152" t="s">
        <v>92</v>
      </c>
      <c r="B152" t="s">
        <v>192</v>
      </c>
      <c r="C152" t="s">
        <v>94</v>
      </c>
      <c r="D152" t="s">
        <v>100</v>
      </c>
      <c r="E152" t="s">
        <v>182</v>
      </c>
      <c r="F152">
        <v>200000</v>
      </c>
      <c r="G152" t="s">
        <v>102</v>
      </c>
      <c r="H152">
        <v>600000</v>
      </c>
      <c r="K152">
        <v>0.65</v>
      </c>
      <c r="L152">
        <v>0.78</v>
      </c>
      <c r="M152" t="s">
        <v>98</v>
      </c>
      <c r="N152" t="s">
        <v>99</v>
      </c>
    </row>
    <row r="153" spans="1:14" x14ac:dyDescent="0.25">
      <c r="A153" t="s">
        <v>92</v>
      </c>
      <c r="B153" t="s">
        <v>192</v>
      </c>
      <c r="C153" t="s">
        <v>94</v>
      </c>
      <c r="D153" t="s">
        <v>104</v>
      </c>
      <c r="E153" t="s">
        <v>105</v>
      </c>
      <c r="F153">
        <v>600000</v>
      </c>
      <c r="G153" t="s">
        <v>102</v>
      </c>
      <c r="K153">
        <v>0.79</v>
      </c>
      <c r="L153">
        <v>0.9</v>
      </c>
      <c r="M153" t="s">
        <v>98</v>
      </c>
      <c r="N153" t="s">
        <v>99</v>
      </c>
    </row>
    <row r="154" spans="1:14" x14ac:dyDescent="0.25">
      <c r="A154" t="s">
        <v>92</v>
      </c>
      <c r="B154" t="s">
        <v>194</v>
      </c>
      <c r="C154" t="s">
        <v>116</v>
      </c>
      <c r="D154" t="s">
        <v>95</v>
      </c>
      <c r="E154" t="s">
        <v>164</v>
      </c>
      <c r="F154">
        <v>65000</v>
      </c>
      <c r="G154" t="s">
        <v>97</v>
      </c>
      <c r="H154">
        <v>300000</v>
      </c>
      <c r="I154">
        <v>0.61</v>
      </c>
      <c r="J154">
        <v>0.71</v>
      </c>
      <c r="K154">
        <v>0.82</v>
      </c>
      <c r="L154">
        <v>0.9</v>
      </c>
      <c r="M154" t="s">
        <v>98</v>
      </c>
      <c r="N154" t="s">
        <v>99</v>
      </c>
    </row>
    <row r="155" spans="1:14" x14ac:dyDescent="0.25">
      <c r="A155" t="s">
        <v>92</v>
      </c>
      <c r="B155" t="s">
        <v>194</v>
      </c>
      <c r="C155" t="s">
        <v>116</v>
      </c>
      <c r="D155" t="s">
        <v>100</v>
      </c>
      <c r="E155" t="s">
        <v>276</v>
      </c>
      <c r="F155">
        <v>300000</v>
      </c>
      <c r="G155" t="s">
        <v>102</v>
      </c>
      <c r="H155">
        <v>950000</v>
      </c>
      <c r="I155">
        <v>0.66</v>
      </c>
      <c r="J155">
        <v>0.74</v>
      </c>
      <c r="K155">
        <v>0.88</v>
      </c>
      <c r="L155">
        <v>0.94</v>
      </c>
      <c r="M155" t="s">
        <v>98</v>
      </c>
      <c r="N155" t="s">
        <v>99</v>
      </c>
    </row>
    <row r="156" spans="1:14" x14ac:dyDescent="0.25">
      <c r="A156" t="s">
        <v>92</v>
      </c>
      <c r="B156" t="s">
        <v>194</v>
      </c>
      <c r="C156" t="s">
        <v>116</v>
      </c>
      <c r="D156" t="s">
        <v>104</v>
      </c>
      <c r="E156" t="s">
        <v>277</v>
      </c>
      <c r="F156">
        <v>950000</v>
      </c>
      <c r="G156" t="s">
        <v>102</v>
      </c>
      <c r="I156">
        <v>0.71</v>
      </c>
      <c r="J156">
        <v>0.77</v>
      </c>
      <c r="K156">
        <v>0.92</v>
      </c>
      <c r="L156">
        <v>0.96</v>
      </c>
      <c r="M156" t="s">
        <v>98</v>
      </c>
      <c r="N156" t="s">
        <v>99</v>
      </c>
    </row>
    <row r="157" spans="1:14" x14ac:dyDescent="0.25">
      <c r="A157" t="s">
        <v>92</v>
      </c>
      <c r="B157" t="s">
        <v>195</v>
      </c>
      <c r="C157" t="s">
        <v>94</v>
      </c>
      <c r="D157" t="s">
        <v>95</v>
      </c>
      <c r="E157" t="s">
        <v>96</v>
      </c>
      <c r="F157">
        <v>50000</v>
      </c>
      <c r="G157" t="s">
        <v>97</v>
      </c>
      <c r="H157">
        <v>150000</v>
      </c>
      <c r="K157">
        <v>0.41</v>
      </c>
      <c r="L157">
        <v>0.57999999999999996</v>
      </c>
      <c r="M157" t="s">
        <v>98</v>
      </c>
      <c r="N157" t="s">
        <v>99</v>
      </c>
    </row>
    <row r="158" spans="1:14" x14ac:dyDescent="0.25">
      <c r="A158" t="s">
        <v>92</v>
      </c>
      <c r="B158" t="s">
        <v>195</v>
      </c>
      <c r="C158" t="s">
        <v>94</v>
      </c>
      <c r="D158" t="s">
        <v>100</v>
      </c>
      <c r="E158" t="s">
        <v>207</v>
      </c>
      <c r="F158">
        <v>150000</v>
      </c>
      <c r="G158" t="s">
        <v>102</v>
      </c>
      <c r="H158">
        <v>300000</v>
      </c>
      <c r="K158">
        <v>0.59</v>
      </c>
      <c r="L158">
        <v>0.76</v>
      </c>
      <c r="M158" t="s">
        <v>98</v>
      </c>
      <c r="N158" t="s">
        <v>99</v>
      </c>
    </row>
    <row r="159" spans="1:14" x14ac:dyDescent="0.25">
      <c r="A159" t="s">
        <v>92</v>
      </c>
      <c r="B159" t="s">
        <v>195</v>
      </c>
      <c r="C159" t="s">
        <v>94</v>
      </c>
      <c r="D159" t="s">
        <v>104</v>
      </c>
      <c r="E159" t="s">
        <v>209</v>
      </c>
      <c r="F159">
        <v>300000</v>
      </c>
      <c r="G159" t="s">
        <v>102</v>
      </c>
      <c r="K159">
        <v>0.75</v>
      </c>
      <c r="L159">
        <v>0.86</v>
      </c>
      <c r="M159" t="s">
        <v>98</v>
      </c>
      <c r="N159" t="s">
        <v>99</v>
      </c>
    </row>
    <row r="160" spans="1:14" x14ac:dyDescent="0.25">
      <c r="A160" t="s">
        <v>92</v>
      </c>
      <c r="B160" t="s">
        <v>196</v>
      </c>
      <c r="C160" t="s">
        <v>116</v>
      </c>
      <c r="D160" t="s">
        <v>95</v>
      </c>
      <c r="E160" t="s">
        <v>123</v>
      </c>
      <c r="F160">
        <v>65000</v>
      </c>
      <c r="G160" t="s">
        <v>97</v>
      </c>
      <c r="H160">
        <v>400000</v>
      </c>
      <c r="I160">
        <v>0.5</v>
      </c>
      <c r="J160">
        <v>0.65</v>
      </c>
      <c r="K160">
        <v>0.75</v>
      </c>
      <c r="L160">
        <v>0.86</v>
      </c>
      <c r="M160" t="s">
        <v>98</v>
      </c>
      <c r="N160" t="s">
        <v>99</v>
      </c>
    </row>
    <row r="161" spans="1:14" x14ac:dyDescent="0.25">
      <c r="A161" t="s">
        <v>92</v>
      </c>
      <c r="B161" t="s">
        <v>196</v>
      </c>
      <c r="C161" t="s">
        <v>116</v>
      </c>
      <c r="D161" t="s">
        <v>100</v>
      </c>
      <c r="E161" t="s">
        <v>278</v>
      </c>
      <c r="F161">
        <v>400000</v>
      </c>
      <c r="G161" t="s">
        <v>102</v>
      </c>
      <c r="H161">
        <v>1000000</v>
      </c>
      <c r="I161">
        <v>0.56000000000000005</v>
      </c>
      <c r="J161">
        <v>0.66</v>
      </c>
      <c r="K161">
        <v>0.82</v>
      </c>
      <c r="L161">
        <v>0.9</v>
      </c>
      <c r="M161" t="s">
        <v>98</v>
      </c>
      <c r="N161" t="s">
        <v>99</v>
      </c>
    </row>
    <row r="162" spans="1:14" x14ac:dyDescent="0.25">
      <c r="A162" t="s">
        <v>92</v>
      </c>
      <c r="B162" t="s">
        <v>196</v>
      </c>
      <c r="C162" t="s">
        <v>116</v>
      </c>
      <c r="D162" t="s">
        <v>104</v>
      </c>
      <c r="E162" t="s">
        <v>264</v>
      </c>
      <c r="F162">
        <v>1000000</v>
      </c>
      <c r="G162" t="s">
        <v>102</v>
      </c>
      <c r="I162">
        <v>0.62</v>
      </c>
      <c r="J162">
        <v>0.7</v>
      </c>
      <c r="K162">
        <v>0.87</v>
      </c>
      <c r="L162">
        <v>0.93</v>
      </c>
      <c r="M162" t="s">
        <v>98</v>
      </c>
      <c r="N162" t="s">
        <v>99</v>
      </c>
    </row>
    <row r="163" spans="1:14" x14ac:dyDescent="0.25">
      <c r="A163" t="s">
        <v>92</v>
      </c>
      <c r="B163" t="s">
        <v>197</v>
      </c>
      <c r="C163" t="s">
        <v>94</v>
      </c>
      <c r="D163" t="s">
        <v>95</v>
      </c>
      <c r="E163" t="s">
        <v>279</v>
      </c>
      <c r="F163">
        <v>65000</v>
      </c>
      <c r="G163" t="s">
        <v>97</v>
      </c>
      <c r="H163">
        <v>175000</v>
      </c>
      <c r="K163">
        <v>0.41</v>
      </c>
      <c r="L163">
        <v>0.65</v>
      </c>
      <c r="M163" t="s">
        <v>98</v>
      </c>
      <c r="N163" t="s">
        <v>99</v>
      </c>
    </row>
    <row r="164" spans="1:14" x14ac:dyDescent="0.25">
      <c r="A164" t="s">
        <v>92</v>
      </c>
      <c r="B164" t="s">
        <v>197</v>
      </c>
      <c r="C164" t="s">
        <v>94</v>
      </c>
      <c r="D164" t="s">
        <v>100</v>
      </c>
      <c r="E164" t="s">
        <v>280</v>
      </c>
      <c r="F164">
        <v>175000</v>
      </c>
      <c r="G164" t="s">
        <v>102</v>
      </c>
      <c r="H164">
        <v>600000</v>
      </c>
      <c r="K164">
        <v>0.69</v>
      </c>
      <c r="L164">
        <v>0.83</v>
      </c>
      <c r="M164" t="s">
        <v>98</v>
      </c>
      <c r="N164" t="s">
        <v>99</v>
      </c>
    </row>
    <row r="165" spans="1:14" x14ac:dyDescent="0.25">
      <c r="A165" t="s">
        <v>92</v>
      </c>
      <c r="B165" t="s">
        <v>197</v>
      </c>
      <c r="C165" t="s">
        <v>94</v>
      </c>
      <c r="D165" t="s">
        <v>104</v>
      </c>
      <c r="E165" t="s">
        <v>105</v>
      </c>
      <c r="F165">
        <v>600000</v>
      </c>
      <c r="G165" t="s">
        <v>102</v>
      </c>
      <c r="K165">
        <v>0.73</v>
      </c>
      <c r="L165">
        <v>0.86</v>
      </c>
      <c r="M165" t="s">
        <v>98</v>
      </c>
      <c r="N165" t="s">
        <v>99</v>
      </c>
    </row>
    <row r="166" spans="1:14" x14ac:dyDescent="0.25">
      <c r="A166" t="s">
        <v>92</v>
      </c>
      <c r="B166" t="s">
        <v>198</v>
      </c>
      <c r="C166" t="s">
        <v>116</v>
      </c>
      <c r="D166" t="s">
        <v>95</v>
      </c>
      <c r="E166" t="s">
        <v>123</v>
      </c>
      <c r="F166">
        <v>65000</v>
      </c>
      <c r="G166" t="s">
        <v>97</v>
      </c>
      <c r="H166">
        <v>400000</v>
      </c>
      <c r="I166">
        <v>0.47</v>
      </c>
      <c r="J166">
        <v>0.67</v>
      </c>
      <c r="K166">
        <v>0.75</v>
      </c>
      <c r="L166">
        <v>0.89</v>
      </c>
      <c r="M166" t="s">
        <v>98</v>
      </c>
      <c r="N166" t="s">
        <v>99</v>
      </c>
    </row>
    <row r="167" spans="1:14" x14ac:dyDescent="0.25">
      <c r="A167" t="s">
        <v>92</v>
      </c>
      <c r="B167" t="s">
        <v>198</v>
      </c>
      <c r="C167" t="s">
        <v>116</v>
      </c>
      <c r="D167" t="s">
        <v>100</v>
      </c>
      <c r="E167" t="s">
        <v>281</v>
      </c>
      <c r="F167">
        <v>400000</v>
      </c>
      <c r="G167" t="s">
        <v>102</v>
      </c>
      <c r="H167">
        <v>600000</v>
      </c>
      <c r="I167">
        <v>0.55000000000000004</v>
      </c>
      <c r="J167">
        <v>0.64</v>
      </c>
      <c r="K167">
        <v>0.86</v>
      </c>
      <c r="L167">
        <v>0.94</v>
      </c>
      <c r="M167" t="s">
        <v>98</v>
      </c>
      <c r="N167" t="s">
        <v>99</v>
      </c>
    </row>
    <row r="168" spans="1:14" x14ac:dyDescent="0.25">
      <c r="A168" t="s">
        <v>92</v>
      </c>
      <c r="B168" t="s">
        <v>198</v>
      </c>
      <c r="C168" t="s">
        <v>116</v>
      </c>
      <c r="D168" t="s">
        <v>104</v>
      </c>
      <c r="E168" t="s">
        <v>105</v>
      </c>
      <c r="F168">
        <v>600000</v>
      </c>
      <c r="G168" t="s">
        <v>102</v>
      </c>
      <c r="I168">
        <v>0.57999999999999996</v>
      </c>
      <c r="J168">
        <v>0.65</v>
      </c>
      <c r="K168">
        <v>0.88</v>
      </c>
      <c r="L168">
        <v>0.94</v>
      </c>
      <c r="M168" t="s">
        <v>98</v>
      </c>
      <c r="N168" t="s">
        <v>99</v>
      </c>
    </row>
    <row r="169" spans="1:14" x14ac:dyDescent="0.25">
      <c r="A169" t="s">
        <v>92</v>
      </c>
      <c r="B169" t="s">
        <v>199</v>
      </c>
      <c r="C169" t="s">
        <v>116</v>
      </c>
      <c r="D169" t="s">
        <v>95</v>
      </c>
      <c r="E169" t="s">
        <v>143</v>
      </c>
      <c r="F169">
        <v>65000</v>
      </c>
      <c r="G169" t="s">
        <v>97</v>
      </c>
      <c r="H169">
        <v>250000</v>
      </c>
      <c r="I169">
        <v>0.42</v>
      </c>
      <c r="J169">
        <v>0.56000000000000005</v>
      </c>
      <c r="K169">
        <v>0.74</v>
      </c>
      <c r="L169">
        <v>0.86</v>
      </c>
      <c r="M169" t="s">
        <v>98</v>
      </c>
      <c r="N169" t="s">
        <v>99</v>
      </c>
    </row>
    <row r="170" spans="1:14" x14ac:dyDescent="0.25">
      <c r="A170" t="s">
        <v>92</v>
      </c>
      <c r="B170" t="s">
        <v>199</v>
      </c>
      <c r="C170" t="s">
        <v>116</v>
      </c>
      <c r="D170" t="s">
        <v>100</v>
      </c>
      <c r="E170" t="s">
        <v>282</v>
      </c>
      <c r="F170">
        <v>250000</v>
      </c>
      <c r="G170" t="s">
        <v>102</v>
      </c>
      <c r="H170">
        <v>900000</v>
      </c>
      <c r="I170">
        <v>0.48</v>
      </c>
      <c r="J170">
        <v>0.56999999999999995</v>
      </c>
      <c r="K170">
        <v>0.8</v>
      </c>
      <c r="L170">
        <v>0.9</v>
      </c>
      <c r="M170" t="s">
        <v>98</v>
      </c>
      <c r="N170" t="s">
        <v>99</v>
      </c>
    </row>
    <row r="171" spans="1:14" x14ac:dyDescent="0.25">
      <c r="A171" t="s">
        <v>92</v>
      </c>
      <c r="B171" t="s">
        <v>199</v>
      </c>
      <c r="C171" t="s">
        <v>116</v>
      </c>
      <c r="D171" t="s">
        <v>104</v>
      </c>
      <c r="E171" t="s">
        <v>162</v>
      </c>
      <c r="F171">
        <v>900000</v>
      </c>
      <c r="G171" t="s">
        <v>102</v>
      </c>
      <c r="I171">
        <v>0.51</v>
      </c>
      <c r="J171">
        <v>0.61</v>
      </c>
      <c r="K171">
        <v>0.85</v>
      </c>
      <c r="L171">
        <v>0.92</v>
      </c>
      <c r="M171" t="s">
        <v>98</v>
      </c>
      <c r="N171" t="s">
        <v>99</v>
      </c>
    </row>
    <row r="172" spans="1:14" x14ac:dyDescent="0.25">
      <c r="A172" t="s">
        <v>92</v>
      </c>
      <c r="B172" t="s">
        <v>200</v>
      </c>
      <c r="C172" t="s">
        <v>116</v>
      </c>
      <c r="D172" t="s">
        <v>95</v>
      </c>
      <c r="E172" t="s">
        <v>283</v>
      </c>
      <c r="F172">
        <v>65000</v>
      </c>
      <c r="G172" t="s">
        <v>97</v>
      </c>
      <c r="H172">
        <v>275000</v>
      </c>
      <c r="I172">
        <v>0.25</v>
      </c>
      <c r="J172">
        <v>0.33</v>
      </c>
      <c r="K172">
        <v>0.65</v>
      </c>
      <c r="L172">
        <v>0.81</v>
      </c>
      <c r="M172" t="s">
        <v>98</v>
      </c>
      <c r="N172" t="s">
        <v>99</v>
      </c>
    </row>
    <row r="173" spans="1:14" x14ac:dyDescent="0.25">
      <c r="A173" t="s">
        <v>92</v>
      </c>
      <c r="B173" t="s">
        <v>200</v>
      </c>
      <c r="C173" t="s">
        <v>116</v>
      </c>
      <c r="D173" t="s">
        <v>100</v>
      </c>
      <c r="E173" t="s">
        <v>284</v>
      </c>
      <c r="F173">
        <v>275000</v>
      </c>
      <c r="G173" t="s">
        <v>102</v>
      </c>
      <c r="H173">
        <v>475000</v>
      </c>
      <c r="I173">
        <v>0.27</v>
      </c>
      <c r="J173">
        <v>0.36</v>
      </c>
      <c r="K173">
        <v>0.83</v>
      </c>
      <c r="L173">
        <v>0.91</v>
      </c>
      <c r="M173" t="s">
        <v>98</v>
      </c>
      <c r="N173" t="s">
        <v>99</v>
      </c>
    </row>
    <row r="174" spans="1:14" x14ac:dyDescent="0.25">
      <c r="A174" t="s">
        <v>92</v>
      </c>
      <c r="B174" t="s">
        <v>200</v>
      </c>
      <c r="C174" t="s">
        <v>116</v>
      </c>
      <c r="D174" t="s">
        <v>104</v>
      </c>
      <c r="E174" t="s">
        <v>285</v>
      </c>
      <c r="F174">
        <v>475000</v>
      </c>
      <c r="G174" t="s">
        <v>102</v>
      </c>
      <c r="I174">
        <v>0.28000000000000003</v>
      </c>
      <c r="J174">
        <v>0.35</v>
      </c>
      <c r="K174">
        <v>0.82</v>
      </c>
      <c r="L174">
        <v>0.9</v>
      </c>
      <c r="M174" t="s">
        <v>98</v>
      </c>
      <c r="N174" t="s">
        <v>99</v>
      </c>
    </row>
    <row r="175" spans="1:14" x14ac:dyDescent="0.25">
      <c r="A175" t="s">
        <v>92</v>
      </c>
      <c r="B175" t="s">
        <v>202</v>
      </c>
      <c r="C175" t="s">
        <v>116</v>
      </c>
      <c r="D175" t="s">
        <v>95</v>
      </c>
      <c r="E175" t="s">
        <v>286</v>
      </c>
      <c r="F175">
        <v>50000</v>
      </c>
      <c r="G175" t="s">
        <v>97</v>
      </c>
      <c r="H175">
        <v>170000</v>
      </c>
      <c r="I175">
        <v>0.39</v>
      </c>
      <c r="J175">
        <v>0.47</v>
      </c>
      <c r="K175">
        <v>0.75</v>
      </c>
      <c r="L175">
        <v>0.83</v>
      </c>
      <c r="M175" t="s">
        <v>98</v>
      </c>
      <c r="N175" t="s">
        <v>99</v>
      </c>
    </row>
    <row r="176" spans="1:14" x14ac:dyDescent="0.25">
      <c r="A176" t="s">
        <v>92</v>
      </c>
      <c r="B176" t="s">
        <v>202</v>
      </c>
      <c r="C176" t="s">
        <v>116</v>
      </c>
      <c r="D176" t="s">
        <v>100</v>
      </c>
      <c r="E176" t="s">
        <v>287</v>
      </c>
      <c r="F176">
        <v>170000</v>
      </c>
      <c r="G176" t="s">
        <v>102</v>
      </c>
      <c r="H176">
        <v>300000</v>
      </c>
      <c r="I176">
        <v>0.4</v>
      </c>
      <c r="J176">
        <v>0.47</v>
      </c>
      <c r="K176">
        <v>0.81</v>
      </c>
      <c r="L176">
        <v>0.9</v>
      </c>
      <c r="M176" t="s">
        <v>98</v>
      </c>
      <c r="N176" t="s">
        <v>99</v>
      </c>
    </row>
    <row r="177" spans="1:14" x14ac:dyDescent="0.25">
      <c r="A177" t="s">
        <v>92</v>
      </c>
      <c r="B177" t="s">
        <v>202</v>
      </c>
      <c r="C177" t="s">
        <v>116</v>
      </c>
      <c r="D177" t="s">
        <v>104</v>
      </c>
      <c r="E177" t="s">
        <v>209</v>
      </c>
      <c r="F177">
        <v>300000</v>
      </c>
      <c r="G177" t="s">
        <v>102</v>
      </c>
      <c r="I177">
        <v>0.43</v>
      </c>
      <c r="J177">
        <v>0.49</v>
      </c>
      <c r="K177">
        <v>0.85</v>
      </c>
      <c r="L177">
        <v>0.91</v>
      </c>
      <c r="M177" t="s">
        <v>98</v>
      </c>
      <c r="N177" t="s">
        <v>99</v>
      </c>
    </row>
    <row r="178" spans="1:14" x14ac:dyDescent="0.25">
      <c r="A178" t="s">
        <v>92</v>
      </c>
      <c r="B178" t="s">
        <v>204</v>
      </c>
      <c r="C178" t="s">
        <v>94</v>
      </c>
      <c r="D178" t="s">
        <v>95</v>
      </c>
      <c r="E178" t="s">
        <v>180</v>
      </c>
      <c r="F178">
        <v>50000</v>
      </c>
      <c r="G178" t="s">
        <v>97</v>
      </c>
      <c r="H178">
        <v>200000</v>
      </c>
      <c r="K178">
        <v>0.48</v>
      </c>
      <c r="L178">
        <v>0.67</v>
      </c>
      <c r="M178" t="s">
        <v>98</v>
      </c>
      <c r="N178" t="s">
        <v>99</v>
      </c>
    </row>
    <row r="179" spans="1:14" x14ac:dyDescent="0.25">
      <c r="A179" t="s">
        <v>92</v>
      </c>
      <c r="B179" t="s">
        <v>204</v>
      </c>
      <c r="C179" t="s">
        <v>94</v>
      </c>
      <c r="D179" t="s">
        <v>100</v>
      </c>
      <c r="E179" t="s">
        <v>223</v>
      </c>
      <c r="F179">
        <v>200000</v>
      </c>
      <c r="G179" t="s">
        <v>102</v>
      </c>
      <c r="H179">
        <v>500000</v>
      </c>
      <c r="K179">
        <v>0.66</v>
      </c>
      <c r="L179">
        <v>0.8</v>
      </c>
      <c r="M179" t="s">
        <v>98</v>
      </c>
      <c r="N179" t="s">
        <v>99</v>
      </c>
    </row>
    <row r="180" spans="1:14" x14ac:dyDescent="0.25">
      <c r="A180" t="s">
        <v>92</v>
      </c>
      <c r="B180" t="s">
        <v>204</v>
      </c>
      <c r="C180" t="s">
        <v>94</v>
      </c>
      <c r="D180" t="s">
        <v>104</v>
      </c>
      <c r="E180" t="s">
        <v>141</v>
      </c>
      <c r="F180">
        <v>500000</v>
      </c>
      <c r="G180" t="s">
        <v>102</v>
      </c>
      <c r="K180">
        <v>0.78</v>
      </c>
      <c r="L180">
        <v>0.88</v>
      </c>
      <c r="M180" t="s">
        <v>98</v>
      </c>
      <c r="N180" t="s">
        <v>99</v>
      </c>
    </row>
    <row r="181" spans="1:14" x14ac:dyDescent="0.25">
      <c r="A181" t="s">
        <v>92</v>
      </c>
      <c r="B181" t="s">
        <v>205</v>
      </c>
      <c r="C181" t="s">
        <v>94</v>
      </c>
      <c r="D181" t="s">
        <v>95</v>
      </c>
      <c r="E181" t="s">
        <v>128</v>
      </c>
      <c r="F181">
        <v>65000</v>
      </c>
      <c r="G181" t="s">
        <v>97</v>
      </c>
      <c r="H181">
        <v>150000</v>
      </c>
      <c r="K181">
        <v>0.63</v>
      </c>
      <c r="L181">
        <v>0.78</v>
      </c>
      <c r="M181" t="s">
        <v>98</v>
      </c>
      <c r="N181" t="s">
        <v>99</v>
      </c>
    </row>
    <row r="182" spans="1:14" x14ac:dyDescent="0.25">
      <c r="A182" t="s">
        <v>92</v>
      </c>
      <c r="B182" t="s">
        <v>205</v>
      </c>
      <c r="C182" t="s">
        <v>94</v>
      </c>
      <c r="D182" t="s">
        <v>100</v>
      </c>
      <c r="E182" t="s">
        <v>101</v>
      </c>
      <c r="F182">
        <v>150000</v>
      </c>
      <c r="G182" t="s">
        <v>102</v>
      </c>
      <c r="H182">
        <v>600000</v>
      </c>
      <c r="K182">
        <v>0.64</v>
      </c>
      <c r="L182">
        <v>0.79</v>
      </c>
      <c r="M182" t="s">
        <v>98</v>
      </c>
      <c r="N182" t="s">
        <v>99</v>
      </c>
    </row>
    <row r="183" spans="1:14" x14ac:dyDescent="0.25">
      <c r="A183" t="s">
        <v>92</v>
      </c>
      <c r="B183" t="s">
        <v>205</v>
      </c>
      <c r="C183" t="s">
        <v>94</v>
      </c>
      <c r="D183" t="s">
        <v>104</v>
      </c>
      <c r="E183" t="s">
        <v>105</v>
      </c>
      <c r="F183">
        <v>600000</v>
      </c>
      <c r="G183" t="s">
        <v>102</v>
      </c>
      <c r="K183">
        <v>0.74</v>
      </c>
      <c r="L183">
        <v>0.87</v>
      </c>
      <c r="M183" t="s">
        <v>98</v>
      </c>
      <c r="N183" t="s">
        <v>99</v>
      </c>
    </row>
    <row r="184" spans="1:14" x14ac:dyDescent="0.25">
      <c r="A184" t="s">
        <v>92</v>
      </c>
      <c r="B184" t="s">
        <v>206</v>
      </c>
      <c r="C184" t="s">
        <v>116</v>
      </c>
      <c r="D184" t="s">
        <v>95</v>
      </c>
      <c r="E184" t="s">
        <v>288</v>
      </c>
      <c r="F184">
        <v>65000</v>
      </c>
      <c r="G184" t="s">
        <v>97</v>
      </c>
      <c r="H184">
        <v>550000</v>
      </c>
      <c r="I184">
        <v>0.5</v>
      </c>
      <c r="J184">
        <v>0.65</v>
      </c>
      <c r="K184">
        <v>0.77</v>
      </c>
      <c r="L184">
        <v>0.83</v>
      </c>
      <c r="M184" t="s">
        <v>98</v>
      </c>
      <c r="N184" t="s">
        <v>99</v>
      </c>
    </row>
    <row r="185" spans="1:14" x14ac:dyDescent="0.25">
      <c r="A185" t="s">
        <v>92</v>
      </c>
      <c r="B185" t="s">
        <v>206</v>
      </c>
      <c r="C185" t="s">
        <v>116</v>
      </c>
      <c r="D185" t="s">
        <v>100</v>
      </c>
      <c r="E185" t="s">
        <v>289</v>
      </c>
      <c r="F185">
        <v>550000</v>
      </c>
      <c r="G185" t="s">
        <v>102</v>
      </c>
      <c r="H185">
        <v>1450000</v>
      </c>
      <c r="I185">
        <v>0.61</v>
      </c>
      <c r="J185">
        <v>0.68</v>
      </c>
      <c r="K185">
        <v>0.85</v>
      </c>
      <c r="L185">
        <v>0.91</v>
      </c>
      <c r="M185" t="s">
        <v>98</v>
      </c>
      <c r="N185" t="s">
        <v>99</v>
      </c>
    </row>
    <row r="186" spans="1:14" x14ac:dyDescent="0.25">
      <c r="A186" t="s">
        <v>92</v>
      </c>
      <c r="B186" t="s">
        <v>206</v>
      </c>
      <c r="C186" t="s">
        <v>116</v>
      </c>
      <c r="D186" t="s">
        <v>104</v>
      </c>
      <c r="E186" t="s">
        <v>290</v>
      </c>
      <c r="F186">
        <v>1450000</v>
      </c>
      <c r="G186" t="s">
        <v>102</v>
      </c>
      <c r="I186">
        <v>0.66</v>
      </c>
      <c r="J186">
        <v>0.71</v>
      </c>
      <c r="K186">
        <v>0.88</v>
      </c>
      <c r="L186">
        <v>0.93</v>
      </c>
      <c r="M186" t="s">
        <v>98</v>
      </c>
      <c r="N186" t="s">
        <v>99</v>
      </c>
    </row>
    <row r="187" spans="1:14" x14ac:dyDescent="0.25">
      <c r="A187" t="s">
        <v>92</v>
      </c>
      <c r="B187" t="s">
        <v>208</v>
      </c>
      <c r="C187" t="s">
        <v>94</v>
      </c>
      <c r="D187" t="s">
        <v>95</v>
      </c>
      <c r="E187" t="s">
        <v>237</v>
      </c>
      <c r="F187">
        <v>50000</v>
      </c>
      <c r="G187" t="s">
        <v>97</v>
      </c>
      <c r="H187">
        <v>90000</v>
      </c>
      <c r="K187">
        <v>0.36</v>
      </c>
      <c r="L187">
        <v>0.54</v>
      </c>
      <c r="M187" t="s">
        <v>98</v>
      </c>
      <c r="N187" t="s">
        <v>99</v>
      </c>
    </row>
    <row r="188" spans="1:14" x14ac:dyDescent="0.25">
      <c r="A188" t="s">
        <v>92</v>
      </c>
      <c r="B188" t="s">
        <v>208</v>
      </c>
      <c r="C188" t="s">
        <v>94</v>
      </c>
      <c r="D188" t="s">
        <v>100</v>
      </c>
      <c r="E188" t="s">
        <v>291</v>
      </c>
      <c r="F188">
        <v>90000</v>
      </c>
      <c r="G188" t="s">
        <v>102</v>
      </c>
      <c r="H188">
        <v>175000</v>
      </c>
      <c r="K188">
        <v>0.44</v>
      </c>
      <c r="L188">
        <v>0.62</v>
      </c>
      <c r="M188" t="s">
        <v>98</v>
      </c>
      <c r="N188" t="s">
        <v>99</v>
      </c>
    </row>
    <row r="189" spans="1:14" x14ac:dyDescent="0.25">
      <c r="A189" t="s">
        <v>92</v>
      </c>
      <c r="B189" t="s">
        <v>208</v>
      </c>
      <c r="C189" t="s">
        <v>94</v>
      </c>
      <c r="D189" t="s">
        <v>104</v>
      </c>
      <c r="E189" t="s">
        <v>292</v>
      </c>
      <c r="F189">
        <v>175000</v>
      </c>
      <c r="G189" t="s">
        <v>102</v>
      </c>
      <c r="K189">
        <v>0.62</v>
      </c>
      <c r="L189">
        <v>0.78</v>
      </c>
      <c r="M189" t="s">
        <v>98</v>
      </c>
      <c r="N189" t="s">
        <v>99</v>
      </c>
    </row>
    <row r="190" spans="1:14" x14ac:dyDescent="0.25">
      <c r="A190" t="s">
        <v>92</v>
      </c>
      <c r="B190" t="s">
        <v>210</v>
      </c>
      <c r="C190" t="s">
        <v>94</v>
      </c>
      <c r="D190" t="s">
        <v>95</v>
      </c>
      <c r="E190" t="s">
        <v>180</v>
      </c>
      <c r="F190">
        <v>50000</v>
      </c>
      <c r="G190" t="s">
        <v>97</v>
      </c>
      <c r="H190">
        <v>200000</v>
      </c>
      <c r="K190">
        <v>0.48</v>
      </c>
      <c r="L190">
        <v>0.69</v>
      </c>
      <c r="M190" t="s">
        <v>98</v>
      </c>
      <c r="N190" t="s">
        <v>99</v>
      </c>
    </row>
    <row r="191" spans="1:14" x14ac:dyDescent="0.25">
      <c r="A191" t="s">
        <v>92</v>
      </c>
      <c r="B191" t="s">
        <v>210</v>
      </c>
      <c r="C191" t="s">
        <v>94</v>
      </c>
      <c r="D191" t="s">
        <v>100</v>
      </c>
      <c r="E191" t="s">
        <v>182</v>
      </c>
      <c r="F191">
        <v>200000</v>
      </c>
      <c r="G191" t="s">
        <v>102</v>
      </c>
      <c r="H191">
        <v>600000</v>
      </c>
      <c r="K191">
        <v>0.57999999999999996</v>
      </c>
      <c r="L191">
        <v>0.77</v>
      </c>
      <c r="M191" t="s">
        <v>98</v>
      </c>
      <c r="N191" t="s">
        <v>99</v>
      </c>
    </row>
    <row r="192" spans="1:14" x14ac:dyDescent="0.25">
      <c r="A192" t="s">
        <v>92</v>
      </c>
      <c r="B192" t="s">
        <v>210</v>
      </c>
      <c r="C192" t="s">
        <v>94</v>
      </c>
      <c r="D192" t="s">
        <v>104</v>
      </c>
      <c r="E192" t="s">
        <v>105</v>
      </c>
      <c r="F192">
        <v>600000</v>
      </c>
      <c r="G192" t="s">
        <v>102</v>
      </c>
      <c r="K192">
        <v>0.79</v>
      </c>
      <c r="L192">
        <v>0.88</v>
      </c>
      <c r="M192" t="s">
        <v>98</v>
      </c>
      <c r="N192" t="s">
        <v>99</v>
      </c>
    </row>
    <row r="193" spans="1:14" x14ac:dyDescent="0.25">
      <c r="A193" t="s">
        <v>92</v>
      </c>
      <c r="B193" t="s">
        <v>211</v>
      </c>
      <c r="C193" t="s">
        <v>116</v>
      </c>
      <c r="D193" t="s">
        <v>95</v>
      </c>
      <c r="E193" t="s">
        <v>128</v>
      </c>
      <c r="F193">
        <v>65000</v>
      </c>
      <c r="G193" t="s">
        <v>97</v>
      </c>
      <c r="H193">
        <v>150000</v>
      </c>
      <c r="I193">
        <v>0.4</v>
      </c>
      <c r="J193">
        <v>0.54</v>
      </c>
      <c r="K193">
        <v>0.68</v>
      </c>
      <c r="L193">
        <v>0.8</v>
      </c>
      <c r="M193" t="s">
        <v>98</v>
      </c>
      <c r="N193" t="s">
        <v>99</v>
      </c>
    </row>
    <row r="194" spans="1:14" x14ac:dyDescent="0.25">
      <c r="A194" t="s">
        <v>92</v>
      </c>
      <c r="B194" t="s">
        <v>211</v>
      </c>
      <c r="C194" t="s">
        <v>116</v>
      </c>
      <c r="D194" t="s">
        <v>100</v>
      </c>
      <c r="E194" t="s">
        <v>293</v>
      </c>
      <c r="F194">
        <v>150000</v>
      </c>
      <c r="G194" t="s">
        <v>102</v>
      </c>
      <c r="H194">
        <v>500000</v>
      </c>
      <c r="I194">
        <v>0.43</v>
      </c>
      <c r="J194">
        <v>0.56000000000000005</v>
      </c>
      <c r="K194">
        <v>0.75</v>
      </c>
      <c r="L194">
        <v>0.87</v>
      </c>
      <c r="M194" t="s">
        <v>98</v>
      </c>
      <c r="N194" t="s">
        <v>99</v>
      </c>
    </row>
    <row r="195" spans="1:14" x14ac:dyDescent="0.25">
      <c r="A195" t="s">
        <v>92</v>
      </c>
      <c r="B195" t="s">
        <v>211</v>
      </c>
      <c r="C195" t="s">
        <v>116</v>
      </c>
      <c r="D195" t="s">
        <v>104</v>
      </c>
      <c r="E195" t="s">
        <v>141</v>
      </c>
      <c r="F195">
        <v>500000</v>
      </c>
      <c r="G195" t="s">
        <v>102</v>
      </c>
      <c r="I195">
        <v>0.47</v>
      </c>
      <c r="J195">
        <v>0.56000000000000005</v>
      </c>
      <c r="K195">
        <v>0.82</v>
      </c>
      <c r="L195">
        <v>0.9</v>
      </c>
      <c r="M195" t="s">
        <v>98</v>
      </c>
      <c r="N195" t="s">
        <v>99</v>
      </c>
    </row>
    <row r="196" spans="1:14" x14ac:dyDescent="0.25">
      <c r="A196" t="s">
        <v>92</v>
      </c>
      <c r="B196" t="s">
        <v>213</v>
      </c>
      <c r="C196" t="s">
        <v>116</v>
      </c>
      <c r="D196" t="s">
        <v>95</v>
      </c>
      <c r="E196" t="s">
        <v>269</v>
      </c>
      <c r="F196">
        <v>65000</v>
      </c>
      <c r="G196" t="s">
        <v>97</v>
      </c>
      <c r="H196">
        <v>450000</v>
      </c>
      <c r="I196">
        <v>0.59</v>
      </c>
      <c r="J196">
        <v>0.69</v>
      </c>
      <c r="K196">
        <v>0.84</v>
      </c>
      <c r="L196">
        <v>0.91</v>
      </c>
      <c r="M196" t="s">
        <v>98</v>
      </c>
      <c r="N196" t="s">
        <v>99</v>
      </c>
    </row>
    <row r="197" spans="1:14" x14ac:dyDescent="0.25">
      <c r="A197" t="s">
        <v>92</v>
      </c>
      <c r="B197" t="s">
        <v>213</v>
      </c>
      <c r="C197" t="s">
        <v>116</v>
      </c>
      <c r="D197" t="s">
        <v>100</v>
      </c>
      <c r="E197" t="s">
        <v>294</v>
      </c>
      <c r="F197">
        <v>450000</v>
      </c>
      <c r="G197" t="s">
        <v>102</v>
      </c>
      <c r="H197">
        <v>850000</v>
      </c>
      <c r="I197">
        <v>0.62</v>
      </c>
      <c r="J197">
        <v>0.7</v>
      </c>
      <c r="K197">
        <v>0.87</v>
      </c>
      <c r="L197">
        <v>0.92</v>
      </c>
      <c r="M197" t="s">
        <v>98</v>
      </c>
      <c r="N197" t="s">
        <v>99</v>
      </c>
    </row>
    <row r="198" spans="1:14" x14ac:dyDescent="0.25">
      <c r="A198" t="s">
        <v>92</v>
      </c>
      <c r="B198" t="s">
        <v>213</v>
      </c>
      <c r="C198" t="s">
        <v>116</v>
      </c>
      <c r="D198" t="s">
        <v>104</v>
      </c>
      <c r="E198" t="s">
        <v>295</v>
      </c>
      <c r="F198">
        <v>850000</v>
      </c>
      <c r="G198" t="s">
        <v>102</v>
      </c>
      <c r="I198">
        <v>0.64</v>
      </c>
      <c r="J198">
        <v>0.71</v>
      </c>
      <c r="K198">
        <v>0.89</v>
      </c>
      <c r="L198">
        <v>0.94</v>
      </c>
      <c r="M198" t="s">
        <v>98</v>
      </c>
      <c r="N198" t="s">
        <v>99</v>
      </c>
    </row>
    <row r="199" spans="1:14" x14ac:dyDescent="0.25">
      <c r="A199" t="s">
        <v>92</v>
      </c>
      <c r="B199" t="s">
        <v>214</v>
      </c>
      <c r="C199" t="s">
        <v>116</v>
      </c>
      <c r="D199" t="s">
        <v>95</v>
      </c>
      <c r="E199" t="s">
        <v>123</v>
      </c>
      <c r="F199">
        <v>65000</v>
      </c>
      <c r="G199" t="s">
        <v>97</v>
      </c>
      <c r="H199">
        <v>400000</v>
      </c>
      <c r="I199">
        <v>0.42</v>
      </c>
      <c r="J199">
        <v>0.59</v>
      </c>
      <c r="K199">
        <v>0.7</v>
      </c>
      <c r="L199">
        <v>0.84</v>
      </c>
      <c r="M199" t="s">
        <v>98</v>
      </c>
      <c r="N199" t="s">
        <v>99</v>
      </c>
    </row>
    <row r="200" spans="1:14" x14ac:dyDescent="0.25">
      <c r="A200" t="s">
        <v>92</v>
      </c>
      <c r="B200" t="s">
        <v>214</v>
      </c>
      <c r="C200" t="s">
        <v>116</v>
      </c>
      <c r="D200" t="s">
        <v>100</v>
      </c>
      <c r="E200" t="s">
        <v>296</v>
      </c>
      <c r="F200">
        <v>400000</v>
      </c>
      <c r="G200" t="s">
        <v>102</v>
      </c>
      <c r="H200">
        <v>1250000</v>
      </c>
      <c r="I200">
        <v>0.52</v>
      </c>
      <c r="J200">
        <v>0.64</v>
      </c>
      <c r="K200">
        <v>0.82</v>
      </c>
      <c r="L200">
        <v>0.9</v>
      </c>
      <c r="M200" t="s">
        <v>98</v>
      </c>
      <c r="N200" t="s">
        <v>99</v>
      </c>
    </row>
    <row r="201" spans="1:14" x14ac:dyDescent="0.25">
      <c r="A201" t="s">
        <v>92</v>
      </c>
      <c r="B201" t="s">
        <v>214</v>
      </c>
      <c r="C201" t="s">
        <v>116</v>
      </c>
      <c r="D201" t="s">
        <v>104</v>
      </c>
      <c r="E201" t="s">
        <v>297</v>
      </c>
      <c r="F201">
        <v>1250000</v>
      </c>
      <c r="G201" t="s">
        <v>102</v>
      </c>
      <c r="I201">
        <v>0.56000000000000005</v>
      </c>
      <c r="J201">
        <v>0.66</v>
      </c>
      <c r="K201">
        <v>0.86</v>
      </c>
      <c r="L201">
        <v>0.92</v>
      </c>
      <c r="M201" t="s">
        <v>98</v>
      </c>
      <c r="N201" t="s">
        <v>99</v>
      </c>
    </row>
    <row r="202" spans="1:14" x14ac:dyDescent="0.25">
      <c r="A202" t="s">
        <v>92</v>
      </c>
      <c r="B202" t="s">
        <v>215</v>
      </c>
      <c r="C202" t="s">
        <v>116</v>
      </c>
      <c r="D202" t="s">
        <v>95</v>
      </c>
      <c r="E202" t="s">
        <v>272</v>
      </c>
      <c r="F202">
        <v>75000</v>
      </c>
      <c r="G202" t="s">
        <v>97</v>
      </c>
      <c r="H202">
        <v>500000</v>
      </c>
      <c r="I202">
        <v>0.61</v>
      </c>
      <c r="J202">
        <v>0.8</v>
      </c>
      <c r="K202">
        <v>0.75</v>
      </c>
      <c r="L202">
        <v>0.9</v>
      </c>
      <c r="M202" t="s">
        <v>98</v>
      </c>
      <c r="N202" t="s">
        <v>99</v>
      </c>
    </row>
    <row r="203" spans="1:14" x14ac:dyDescent="0.25">
      <c r="A203" t="s">
        <v>92</v>
      </c>
      <c r="B203" t="s">
        <v>215</v>
      </c>
      <c r="C203" t="s">
        <v>116</v>
      </c>
      <c r="D203" t="s">
        <v>100</v>
      </c>
      <c r="E203" t="s">
        <v>298</v>
      </c>
      <c r="F203">
        <v>500000</v>
      </c>
      <c r="G203" t="s">
        <v>102</v>
      </c>
      <c r="H203">
        <v>1500000</v>
      </c>
      <c r="I203">
        <v>0.67</v>
      </c>
      <c r="J203">
        <v>0.81</v>
      </c>
      <c r="K203">
        <v>0.87</v>
      </c>
      <c r="L203">
        <v>0.93</v>
      </c>
      <c r="M203" t="s">
        <v>98</v>
      </c>
      <c r="N203" t="s">
        <v>99</v>
      </c>
    </row>
    <row r="204" spans="1:14" x14ac:dyDescent="0.25">
      <c r="A204" t="s">
        <v>92</v>
      </c>
      <c r="B204" t="s">
        <v>215</v>
      </c>
      <c r="C204" t="s">
        <v>116</v>
      </c>
      <c r="D204" t="s">
        <v>104</v>
      </c>
      <c r="E204" t="s">
        <v>299</v>
      </c>
      <c r="F204">
        <v>1500000</v>
      </c>
      <c r="G204" t="s">
        <v>102</v>
      </c>
      <c r="I204">
        <v>0.76</v>
      </c>
      <c r="J204">
        <v>0.86</v>
      </c>
      <c r="K204">
        <v>0.92</v>
      </c>
      <c r="L204">
        <v>0.96</v>
      </c>
      <c r="M204" t="s">
        <v>98</v>
      </c>
      <c r="N204" t="s">
        <v>99</v>
      </c>
    </row>
    <row r="205" spans="1:14" x14ac:dyDescent="0.25">
      <c r="A205" t="s">
        <v>92</v>
      </c>
      <c r="B205" t="s">
        <v>217</v>
      </c>
      <c r="C205" t="s">
        <v>116</v>
      </c>
      <c r="D205" t="s">
        <v>95</v>
      </c>
      <c r="E205" t="s">
        <v>300</v>
      </c>
      <c r="F205">
        <v>65000</v>
      </c>
      <c r="G205" t="s">
        <v>97</v>
      </c>
      <c r="H205">
        <v>285000</v>
      </c>
      <c r="I205">
        <v>0.41</v>
      </c>
      <c r="J205">
        <v>0.57999999999999996</v>
      </c>
      <c r="K205">
        <v>0.67</v>
      </c>
      <c r="L205">
        <v>0.82</v>
      </c>
      <c r="M205" t="s">
        <v>98</v>
      </c>
      <c r="N205" t="s">
        <v>99</v>
      </c>
    </row>
    <row r="206" spans="1:14" x14ac:dyDescent="0.25">
      <c r="A206" t="s">
        <v>92</v>
      </c>
      <c r="B206" t="s">
        <v>217</v>
      </c>
      <c r="C206" t="s">
        <v>116</v>
      </c>
      <c r="D206" t="s">
        <v>100</v>
      </c>
      <c r="E206" t="s">
        <v>301</v>
      </c>
      <c r="F206">
        <v>285000</v>
      </c>
      <c r="G206" t="s">
        <v>102</v>
      </c>
      <c r="H206">
        <v>765000</v>
      </c>
      <c r="I206">
        <v>0.53</v>
      </c>
      <c r="J206">
        <v>0.62</v>
      </c>
      <c r="K206">
        <v>0.8</v>
      </c>
      <c r="L206">
        <v>0.87</v>
      </c>
      <c r="M206" t="s">
        <v>98</v>
      </c>
      <c r="N206" t="s">
        <v>99</v>
      </c>
    </row>
    <row r="207" spans="1:14" x14ac:dyDescent="0.25">
      <c r="A207" t="s">
        <v>92</v>
      </c>
      <c r="B207" t="s">
        <v>217</v>
      </c>
      <c r="C207" t="s">
        <v>116</v>
      </c>
      <c r="D207" t="s">
        <v>104</v>
      </c>
      <c r="E207" t="s">
        <v>302</v>
      </c>
      <c r="F207">
        <v>765000</v>
      </c>
      <c r="G207" t="s">
        <v>102</v>
      </c>
      <c r="I207">
        <v>0.6</v>
      </c>
      <c r="J207">
        <v>0.68</v>
      </c>
      <c r="K207">
        <v>0.88</v>
      </c>
      <c r="L207">
        <v>0.93</v>
      </c>
      <c r="M207" t="s">
        <v>98</v>
      </c>
      <c r="N207" t="s">
        <v>99</v>
      </c>
    </row>
    <row r="208" spans="1:14" x14ac:dyDescent="0.25">
      <c r="A208" t="s">
        <v>92</v>
      </c>
      <c r="B208" t="s">
        <v>218</v>
      </c>
      <c r="C208" t="s">
        <v>116</v>
      </c>
      <c r="D208" t="s">
        <v>95</v>
      </c>
      <c r="E208" t="s">
        <v>147</v>
      </c>
      <c r="F208">
        <v>65000</v>
      </c>
      <c r="G208" t="s">
        <v>97</v>
      </c>
      <c r="H208">
        <v>500000</v>
      </c>
      <c r="I208">
        <v>0.45</v>
      </c>
      <c r="J208">
        <v>0.61</v>
      </c>
      <c r="K208">
        <v>0.79</v>
      </c>
      <c r="L208">
        <v>0.89</v>
      </c>
      <c r="M208" t="s">
        <v>98</v>
      </c>
      <c r="N208" t="s">
        <v>99</v>
      </c>
    </row>
    <row r="209" spans="1:14" x14ac:dyDescent="0.25">
      <c r="A209" t="s">
        <v>92</v>
      </c>
      <c r="B209" t="s">
        <v>218</v>
      </c>
      <c r="C209" t="s">
        <v>116</v>
      </c>
      <c r="D209" t="s">
        <v>100</v>
      </c>
      <c r="E209" t="s">
        <v>263</v>
      </c>
      <c r="F209">
        <v>500000</v>
      </c>
      <c r="G209" t="s">
        <v>102</v>
      </c>
      <c r="H209">
        <v>1000000</v>
      </c>
      <c r="I209">
        <v>0.49</v>
      </c>
      <c r="J209">
        <v>0.64</v>
      </c>
      <c r="K209">
        <v>0.85</v>
      </c>
      <c r="L209">
        <v>0.91</v>
      </c>
      <c r="M209" t="s">
        <v>98</v>
      </c>
      <c r="N209" t="s">
        <v>99</v>
      </c>
    </row>
    <row r="210" spans="1:14" x14ac:dyDescent="0.25">
      <c r="A210" t="s">
        <v>92</v>
      </c>
      <c r="B210" t="s">
        <v>218</v>
      </c>
      <c r="C210" t="s">
        <v>116</v>
      </c>
      <c r="D210" t="s">
        <v>104</v>
      </c>
      <c r="E210" t="s">
        <v>264</v>
      </c>
      <c r="F210">
        <v>1000000</v>
      </c>
      <c r="G210" t="s">
        <v>102</v>
      </c>
      <c r="I210">
        <v>0.57999999999999996</v>
      </c>
      <c r="J210">
        <v>0.81</v>
      </c>
      <c r="K210">
        <v>0.9</v>
      </c>
      <c r="L210">
        <v>0.95</v>
      </c>
      <c r="M210" t="s">
        <v>98</v>
      </c>
      <c r="N210" t="s">
        <v>99</v>
      </c>
    </row>
    <row r="211" spans="1:14" x14ac:dyDescent="0.25">
      <c r="A211" t="s">
        <v>92</v>
      </c>
      <c r="B211" t="s">
        <v>219</v>
      </c>
      <c r="C211" t="s">
        <v>94</v>
      </c>
      <c r="D211" t="s">
        <v>95</v>
      </c>
      <c r="E211" t="s">
        <v>96</v>
      </c>
      <c r="F211">
        <v>50000</v>
      </c>
      <c r="G211" t="s">
        <v>97</v>
      </c>
      <c r="H211">
        <v>150000</v>
      </c>
      <c r="K211">
        <v>0.36</v>
      </c>
      <c r="L211">
        <v>0.52</v>
      </c>
      <c r="M211" t="s">
        <v>98</v>
      </c>
      <c r="N211" t="s">
        <v>99</v>
      </c>
    </row>
    <row r="212" spans="1:14" x14ac:dyDescent="0.25">
      <c r="A212" t="s">
        <v>92</v>
      </c>
      <c r="B212" t="s">
        <v>219</v>
      </c>
      <c r="C212" t="s">
        <v>94</v>
      </c>
      <c r="D212" t="s">
        <v>100</v>
      </c>
      <c r="E212" t="s">
        <v>101</v>
      </c>
      <c r="F212">
        <v>150000</v>
      </c>
      <c r="G212" t="s">
        <v>102</v>
      </c>
      <c r="H212">
        <v>600000</v>
      </c>
      <c r="K212">
        <v>0.56999999999999995</v>
      </c>
      <c r="L212">
        <v>0.73</v>
      </c>
      <c r="M212" t="s">
        <v>98</v>
      </c>
      <c r="N212" t="s">
        <v>99</v>
      </c>
    </row>
    <row r="213" spans="1:14" x14ac:dyDescent="0.25">
      <c r="A213" t="s">
        <v>92</v>
      </c>
      <c r="B213" t="s">
        <v>219</v>
      </c>
      <c r="C213" t="s">
        <v>94</v>
      </c>
      <c r="D213" t="s">
        <v>104</v>
      </c>
      <c r="E213" t="s">
        <v>105</v>
      </c>
      <c r="F213">
        <v>600000</v>
      </c>
      <c r="G213" t="s">
        <v>102</v>
      </c>
      <c r="K213">
        <v>0.76</v>
      </c>
      <c r="L213">
        <v>0.87</v>
      </c>
      <c r="M213" t="s">
        <v>98</v>
      </c>
      <c r="N213" t="s">
        <v>99</v>
      </c>
    </row>
    <row r="214" spans="1:14" x14ac:dyDescent="0.25">
      <c r="A214" t="s">
        <v>92</v>
      </c>
      <c r="B214" t="s">
        <v>220</v>
      </c>
      <c r="C214" t="s">
        <v>94</v>
      </c>
      <c r="D214" t="s">
        <v>95</v>
      </c>
      <c r="E214" t="s">
        <v>96</v>
      </c>
      <c r="F214">
        <v>50000</v>
      </c>
      <c r="G214" t="s">
        <v>97</v>
      </c>
      <c r="H214">
        <v>150000</v>
      </c>
      <c r="K214">
        <v>0.49</v>
      </c>
      <c r="L214">
        <v>0.68</v>
      </c>
      <c r="M214" t="s">
        <v>98</v>
      </c>
      <c r="N214" t="s">
        <v>99</v>
      </c>
    </row>
    <row r="215" spans="1:14" x14ac:dyDescent="0.25">
      <c r="A215" t="s">
        <v>92</v>
      </c>
      <c r="B215" t="s">
        <v>220</v>
      </c>
      <c r="C215" t="s">
        <v>94</v>
      </c>
      <c r="D215" t="s">
        <v>100</v>
      </c>
      <c r="E215" t="s">
        <v>207</v>
      </c>
      <c r="F215">
        <v>150000</v>
      </c>
      <c r="G215" t="s">
        <v>102</v>
      </c>
      <c r="H215">
        <v>300000</v>
      </c>
      <c r="K215">
        <v>0.56000000000000005</v>
      </c>
      <c r="L215">
        <v>0.75</v>
      </c>
      <c r="M215" t="s">
        <v>98</v>
      </c>
      <c r="N215" t="s">
        <v>99</v>
      </c>
    </row>
    <row r="216" spans="1:14" x14ac:dyDescent="0.25">
      <c r="A216" t="s">
        <v>92</v>
      </c>
      <c r="B216" t="s">
        <v>220</v>
      </c>
      <c r="C216" t="s">
        <v>94</v>
      </c>
      <c r="D216" t="s">
        <v>104</v>
      </c>
      <c r="E216" t="s">
        <v>209</v>
      </c>
      <c r="F216">
        <v>300000</v>
      </c>
      <c r="G216" t="s">
        <v>102</v>
      </c>
      <c r="K216">
        <v>0.75</v>
      </c>
      <c r="L216">
        <v>0.88</v>
      </c>
      <c r="M216" t="s">
        <v>98</v>
      </c>
      <c r="N216" t="s">
        <v>99</v>
      </c>
    </row>
    <row r="217" spans="1:14" x14ac:dyDescent="0.25">
      <c r="A217" t="s">
        <v>92</v>
      </c>
      <c r="B217" t="s">
        <v>221</v>
      </c>
      <c r="C217" t="s">
        <v>94</v>
      </c>
      <c r="D217" t="s">
        <v>95</v>
      </c>
      <c r="E217" t="s">
        <v>96</v>
      </c>
      <c r="F217">
        <v>50000</v>
      </c>
      <c r="G217" t="s">
        <v>97</v>
      </c>
      <c r="H217">
        <v>150000</v>
      </c>
      <c r="K217">
        <v>0.45</v>
      </c>
      <c r="L217">
        <v>0.63</v>
      </c>
      <c r="M217" t="s">
        <v>98</v>
      </c>
      <c r="N217" t="s">
        <v>99</v>
      </c>
    </row>
    <row r="218" spans="1:14" x14ac:dyDescent="0.25">
      <c r="A218" t="s">
        <v>92</v>
      </c>
      <c r="B218" t="s">
        <v>221</v>
      </c>
      <c r="C218" t="s">
        <v>94</v>
      </c>
      <c r="D218" t="s">
        <v>100</v>
      </c>
      <c r="E218" t="s">
        <v>186</v>
      </c>
      <c r="F218">
        <v>150000</v>
      </c>
      <c r="G218" t="s">
        <v>102</v>
      </c>
      <c r="H218">
        <v>400000</v>
      </c>
      <c r="K218">
        <v>0.47</v>
      </c>
      <c r="L218">
        <v>0.69</v>
      </c>
      <c r="M218" t="s">
        <v>98</v>
      </c>
      <c r="N218" t="s">
        <v>99</v>
      </c>
    </row>
    <row r="219" spans="1:14" x14ac:dyDescent="0.25">
      <c r="A219" t="s">
        <v>92</v>
      </c>
      <c r="B219" t="s">
        <v>221</v>
      </c>
      <c r="C219" t="s">
        <v>94</v>
      </c>
      <c r="D219" t="s">
        <v>104</v>
      </c>
      <c r="E219" t="s">
        <v>114</v>
      </c>
      <c r="F219">
        <v>400000</v>
      </c>
      <c r="G219" t="s">
        <v>102</v>
      </c>
      <c r="K219">
        <v>0.67</v>
      </c>
      <c r="L219">
        <v>0.83</v>
      </c>
      <c r="M219" t="s">
        <v>98</v>
      </c>
      <c r="N219" t="s">
        <v>99</v>
      </c>
    </row>
    <row r="220" spans="1:14" x14ac:dyDescent="0.25">
      <c r="A220" t="s">
        <v>92</v>
      </c>
      <c r="B220" t="s">
        <v>222</v>
      </c>
      <c r="C220" t="s">
        <v>116</v>
      </c>
      <c r="D220" t="s">
        <v>95</v>
      </c>
      <c r="E220" t="s">
        <v>143</v>
      </c>
      <c r="F220">
        <v>65000</v>
      </c>
      <c r="G220" t="s">
        <v>97</v>
      </c>
      <c r="H220">
        <v>250000</v>
      </c>
      <c r="I220">
        <v>0.32</v>
      </c>
      <c r="J220">
        <v>0.55000000000000004</v>
      </c>
      <c r="K220">
        <v>0.57999999999999996</v>
      </c>
      <c r="L220">
        <v>0.79</v>
      </c>
      <c r="M220" t="s">
        <v>98</v>
      </c>
      <c r="N220" t="s">
        <v>99</v>
      </c>
    </row>
    <row r="221" spans="1:14" x14ac:dyDescent="0.25">
      <c r="A221" t="s">
        <v>92</v>
      </c>
      <c r="B221" t="s">
        <v>222</v>
      </c>
      <c r="C221" t="s">
        <v>116</v>
      </c>
      <c r="D221" t="s">
        <v>100</v>
      </c>
      <c r="E221" t="s">
        <v>119</v>
      </c>
      <c r="F221">
        <v>250000</v>
      </c>
      <c r="G221" t="s">
        <v>102</v>
      </c>
      <c r="H221">
        <v>750000</v>
      </c>
      <c r="I221">
        <v>0.46</v>
      </c>
      <c r="J221">
        <v>0.59</v>
      </c>
      <c r="K221">
        <v>0.78</v>
      </c>
      <c r="L221">
        <v>0.89</v>
      </c>
      <c r="M221" t="s">
        <v>98</v>
      </c>
      <c r="N221" t="s">
        <v>99</v>
      </c>
    </row>
    <row r="222" spans="1:14" x14ac:dyDescent="0.25">
      <c r="A222" t="s">
        <v>92</v>
      </c>
      <c r="B222" t="s">
        <v>222</v>
      </c>
      <c r="C222" t="s">
        <v>116</v>
      </c>
      <c r="D222" t="s">
        <v>104</v>
      </c>
      <c r="E222" t="s">
        <v>121</v>
      </c>
      <c r="F222">
        <v>750000</v>
      </c>
      <c r="G222" t="s">
        <v>102</v>
      </c>
      <c r="I222">
        <v>0.56000000000000005</v>
      </c>
      <c r="J222">
        <v>0.64</v>
      </c>
      <c r="K222">
        <v>0.87</v>
      </c>
      <c r="L222">
        <v>0.93</v>
      </c>
      <c r="M222" t="s">
        <v>98</v>
      </c>
      <c r="N222" t="s">
        <v>99</v>
      </c>
    </row>
    <row r="223" spans="1:14" x14ac:dyDescent="0.25">
      <c r="A223" t="s">
        <v>92</v>
      </c>
      <c r="B223" t="s">
        <v>224</v>
      </c>
      <c r="C223" t="s">
        <v>116</v>
      </c>
      <c r="D223" t="s">
        <v>95</v>
      </c>
      <c r="E223" t="s">
        <v>303</v>
      </c>
      <c r="F223">
        <v>400000</v>
      </c>
      <c r="G223" t="s">
        <v>97</v>
      </c>
      <c r="H223">
        <v>1500000</v>
      </c>
      <c r="I223">
        <v>0.62</v>
      </c>
      <c r="J223">
        <v>0.67</v>
      </c>
      <c r="K223">
        <v>0.86</v>
      </c>
      <c r="L223">
        <v>0.91</v>
      </c>
      <c r="M223" t="s">
        <v>98</v>
      </c>
      <c r="N223" t="s">
        <v>99</v>
      </c>
    </row>
    <row r="224" spans="1:14" x14ac:dyDescent="0.25">
      <c r="A224" t="s">
        <v>92</v>
      </c>
      <c r="B224" t="s">
        <v>224</v>
      </c>
      <c r="C224" t="s">
        <v>116</v>
      </c>
      <c r="D224" t="s">
        <v>100</v>
      </c>
      <c r="E224" t="s">
        <v>304</v>
      </c>
      <c r="F224">
        <v>1500000</v>
      </c>
      <c r="G224" t="s">
        <v>102</v>
      </c>
      <c r="H224">
        <v>3500000</v>
      </c>
      <c r="I224">
        <v>0.63</v>
      </c>
      <c r="J224">
        <v>0.67</v>
      </c>
      <c r="K224">
        <v>0.88</v>
      </c>
      <c r="L224">
        <v>0.93</v>
      </c>
      <c r="M224" t="s">
        <v>98</v>
      </c>
      <c r="N224" t="s">
        <v>99</v>
      </c>
    </row>
    <row r="225" spans="1:14" x14ac:dyDescent="0.25">
      <c r="A225" t="s">
        <v>92</v>
      </c>
      <c r="B225" t="s">
        <v>224</v>
      </c>
      <c r="C225" t="s">
        <v>116</v>
      </c>
      <c r="D225" t="s">
        <v>104</v>
      </c>
      <c r="E225" t="s">
        <v>305</v>
      </c>
      <c r="F225">
        <v>3500000</v>
      </c>
      <c r="G225" t="s">
        <v>102</v>
      </c>
      <c r="I225">
        <v>0.66</v>
      </c>
      <c r="J225">
        <v>0.7</v>
      </c>
      <c r="K225">
        <v>0.9</v>
      </c>
      <c r="L225">
        <v>0.95</v>
      </c>
      <c r="M225" t="s">
        <v>98</v>
      </c>
      <c r="N225" t="s">
        <v>99</v>
      </c>
    </row>
    <row r="226" spans="1:14" x14ac:dyDescent="0.25">
      <c r="A226" t="s">
        <v>92</v>
      </c>
      <c r="B226" t="s">
        <v>225</v>
      </c>
      <c r="C226" t="s">
        <v>94</v>
      </c>
      <c r="D226" t="s">
        <v>95</v>
      </c>
      <c r="E226" t="s">
        <v>306</v>
      </c>
      <c r="F226">
        <v>75000</v>
      </c>
      <c r="G226" t="s">
        <v>97</v>
      </c>
      <c r="H226">
        <v>240000</v>
      </c>
      <c r="K226">
        <v>0.31</v>
      </c>
      <c r="L226">
        <v>0.53</v>
      </c>
      <c r="M226" t="s">
        <v>98</v>
      </c>
      <c r="N226" t="s">
        <v>99</v>
      </c>
    </row>
    <row r="227" spans="1:14" x14ac:dyDescent="0.25">
      <c r="A227" t="s">
        <v>92</v>
      </c>
      <c r="B227" t="s">
        <v>225</v>
      </c>
      <c r="C227" t="s">
        <v>94</v>
      </c>
      <c r="D227" t="s">
        <v>100</v>
      </c>
      <c r="E227" t="s">
        <v>307</v>
      </c>
      <c r="F227">
        <v>240000</v>
      </c>
      <c r="G227" t="s">
        <v>102</v>
      </c>
      <c r="H227">
        <v>600000</v>
      </c>
      <c r="K227">
        <v>0.54</v>
      </c>
      <c r="L227">
        <v>0.73</v>
      </c>
      <c r="M227" t="s">
        <v>98</v>
      </c>
      <c r="N227" t="s">
        <v>99</v>
      </c>
    </row>
    <row r="228" spans="1:14" x14ac:dyDescent="0.25">
      <c r="A228" t="s">
        <v>92</v>
      </c>
      <c r="B228" t="s">
        <v>225</v>
      </c>
      <c r="C228" t="s">
        <v>94</v>
      </c>
      <c r="D228" t="s">
        <v>104</v>
      </c>
      <c r="E228" t="s">
        <v>105</v>
      </c>
      <c r="F228">
        <v>600000</v>
      </c>
      <c r="G228" t="s">
        <v>102</v>
      </c>
      <c r="K228">
        <v>0.73</v>
      </c>
      <c r="L228">
        <v>0.84</v>
      </c>
      <c r="M228" t="s">
        <v>98</v>
      </c>
      <c r="N228" t="s">
        <v>99</v>
      </c>
    </row>
    <row r="229" spans="1:14" x14ac:dyDescent="0.25">
      <c r="A229" t="s">
        <v>92</v>
      </c>
      <c r="B229" t="s">
        <v>226</v>
      </c>
      <c r="C229" t="s">
        <v>116</v>
      </c>
      <c r="D229" t="s">
        <v>95</v>
      </c>
      <c r="E229" t="s">
        <v>308</v>
      </c>
      <c r="F229">
        <v>55000</v>
      </c>
      <c r="G229" t="s">
        <v>97</v>
      </c>
      <c r="H229">
        <v>140000</v>
      </c>
      <c r="I229">
        <v>0.27</v>
      </c>
      <c r="J229">
        <v>0.34</v>
      </c>
      <c r="K229">
        <v>0.56000000000000005</v>
      </c>
      <c r="L229">
        <v>0.74</v>
      </c>
      <c r="M229" t="s">
        <v>98</v>
      </c>
      <c r="N229" t="s">
        <v>99</v>
      </c>
    </row>
    <row r="230" spans="1:14" x14ac:dyDescent="0.25">
      <c r="A230" t="s">
        <v>92</v>
      </c>
      <c r="B230" t="s">
        <v>226</v>
      </c>
      <c r="C230" t="s">
        <v>116</v>
      </c>
      <c r="D230" t="s">
        <v>100</v>
      </c>
      <c r="E230" t="s">
        <v>309</v>
      </c>
      <c r="F230">
        <v>140000</v>
      </c>
      <c r="G230" t="s">
        <v>102</v>
      </c>
      <c r="H230">
        <v>260000</v>
      </c>
      <c r="I230">
        <v>0.27</v>
      </c>
      <c r="J230">
        <v>0.32</v>
      </c>
      <c r="K230">
        <v>0.64</v>
      </c>
      <c r="L230">
        <v>0.76</v>
      </c>
      <c r="M230" t="s">
        <v>98</v>
      </c>
      <c r="N230" t="s">
        <v>99</v>
      </c>
    </row>
    <row r="231" spans="1:14" x14ac:dyDescent="0.25">
      <c r="A231" t="s">
        <v>92</v>
      </c>
      <c r="B231" t="s">
        <v>226</v>
      </c>
      <c r="C231" t="s">
        <v>116</v>
      </c>
      <c r="D231" t="s">
        <v>104</v>
      </c>
      <c r="E231" t="s">
        <v>310</v>
      </c>
      <c r="F231">
        <v>260000</v>
      </c>
      <c r="G231" t="s">
        <v>102</v>
      </c>
      <c r="I231">
        <v>0.25</v>
      </c>
      <c r="J231">
        <v>0.31</v>
      </c>
      <c r="K231">
        <v>0.69</v>
      </c>
      <c r="L231">
        <v>0.83</v>
      </c>
      <c r="M231" t="s">
        <v>98</v>
      </c>
      <c r="N231" t="s">
        <v>99</v>
      </c>
    </row>
    <row r="232" spans="1:14" x14ac:dyDescent="0.25">
      <c r="A232" t="s">
        <v>92</v>
      </c>
      <c r="B232" t="s">
        <v>227</v>
      </c>
      <c r="C232" t="s">
        <v>116</v>
      </c>
      <c r="D232" t="s">
        <v>95</v>
      </c>
      <c r="E232" t="s">
        <v>128</v>
      </c>
      <c r="F232">
        <v>65000</v>
      </c>
      <c r="G232" t="s">
        <v>97</v>
      </c>
      <c r="H232">
        <v>150000</v>
      </c>
      <c r="I232">
        <v>0.34</v>
      </c>
      <c r="J232">
        <v>0.45</v>
      </c>
      <c r="K232">
        <v>0.75</v>
      </c>
      <c r="L232">
        <v>0.84</v>
      </c>
      <c r="M232" t="s">
        <v>98</v>
      </c>
      <c r="N232" t="s">
        <v>99</v>
      </c>
    </row>
    <row r="233" spans="1:14" x14ac:dyDescent="0.25">
      <c r="A233" t="s">
        <v>92</v>
      </c>
      <c r="B233" t="s">
        <v>227</v>
      </c>
      <c r="C233" t="s">
        <v>116</v>
      </c>
      <c r="D233" t="s">
        <v>100</v>
      </c>
      <c r="E233" t="s">
        <v>101</v>
      </c>
      <c r="F233">
        <v>150000</v>
      </c>
      <c r="G233" t="s">
        <v>102</v>
      </c>
      <c r="H233">
        <v>600000</v>
      </c>
      <c r="I233">
        <v>0.37</v>
      </c>
      <c r="J233">
        <v>0.44</v>
      </c>
      <c r="K233">
        <v>0.79</v>
      </c>
      <c r="L233">
        <v>0.89</v>
      </c>
      <c r="M233" t="s">
        <v>98</v>
      </c>
      <c r="N233" t="s">
        <v>99</v>
      </c>
    </row>
    <row r="234" spans="1:14" x14ac:dyDescent="0.25">
      <c r="A234" t="s">
        <v>92</v>
      </c>
      <c r="B234" t="s">
        <v>227</v>
      </c>
      <c r="C234" t="s">
        <v>116</v>
      </c>
      <c r="D234" t="s">
        <v>104</v>
      </c>
      <c r="E234" t="s">
        <v>105</v>
      </c>
      <c r="F234">
        <v>600000</v>
      </c>
      <c r="G234" t="s">
        <v>102</v>
      </c>
      <c r="I234">
        <v>0.35</v>
      </c>
      <c r="J234">
        <v>0.41</v>
      </c>
      <c r="K234">
        <v>0.86</v>
      </c>
      <c r="L234">
        <v>0.94</v>
      </c>
      <c r="M234" t="s">
        <v>98</v>
      </c>
      <c r="N234" t="s">
        <v>99</v>
      </c>
    </row>
    <row r="235" spans="1:14" x14ac:dyDescent="0.25">
      <c r="A235" t="s">
        <v>92</v>
      </c>
      <c r="B235" t="s">
        <v>228</v>
      </c>
      <c r="C235" t="s">
        <v>94</v>
      </c>
      <c r="D235" t="s">
        <v>95</v>
      </c>
      <c r="E235" t="s">
        <v>311</v>
      </c>
      <c r="F235">
        <v>50000</v>
      </c>
      <c r="G235" t="s">
        <v>97</v>
      </c>
      <c r="H235">
        <v>300000</v>
      </c>
      <c r="K235">
        <v>0.36</v>
      </c>
      <c r="L235">
        <v>0.56999999999999995</v>
      </c>
      <c r="M235" t="s">
        <v>98</v>
      </c>
      <c r="N235" t="s">
        <v>99</v>
      </c>
    </row>
    <row r="236" spans="1:14" x14ac:dyDescent="0.25">
      <c r="A236" t="s">
        <v>92</v>
      </c>
      <c r="B236" t="s">
        <v>228</v>
      </c>
      <c r="C236" t="s">
        <v>94</v>
      </c>
      <c r="D236" t="s">
        <v>100</v>
      </c>
      <c r="E236" t="s">
        <v>312</v>
      </c>
      <c r="F236">
        <v>300000</v>
      </c>
      <c r="G236" t="s">
        <v>102</v>
      </c>
      <c r="H236">
        <v>1000000</v>
      </c>
      <c r="K236">
        <v>0.71</v>
      </c>
      <c r="L236">
        <v>0.84</v>
      </c>
      <c r="M236" t="s">
        <v>98</v>
      </c>
      <c r="N236" t="s">
        <v>99</v>
      </c>
    </row>
    <row r="237" spans="1:14" x14ac:dyDescent="0.25">
      <c r="A237" t="s">
        <v>92</v>
      </c>
      <c r="B237" t="s">
        <v>228</v>
      </c>
      <c r="C237" t="s">
        <v>94</v>
      </c>
      <c r="D237" t="s">
        <v>104</v>
      </c>
      <c r="E237" t="s">
        <v>264</v>
      </c>
      <c r="F237">
        <v>1000000</v>
      </c>
      <c r="G237" t="s">
        <v>102</v>
      </c>
      <c r="K237">
        <v>0.85</v>
      </c>
      <c r="L237">
        <v>0.93</v>
      </c>
      <c r="M237" t="s">
        <v>98</v>
      </c>
      <c r="N237" t="s">
        <v>99</v>
      </c>
    </row>
    <row r="238" spans="1:14" x14ac:dyDescent="0.25">
      <c r="A238" t="s">
        <v>92</v>
      </c>
      <c r="B238" t="s">
        <v>230</v>
      </c>
      <c r="C238" t="s">
        <v>94</v>
      </c>
      <c r="D238" t="s">
        <v>95</v>
      </c>
      <c r="E238" t="s">
        <v>96</v>
      </c>
      <c r="F238">
        <v>50000</v>
      </c>
      <c r="G238" t="s">
        <v>97</v>
      </c>
      <c r="H238">
        <v>150000</v>
      </c>
      <c r="K238">
        <v>0.5</v>
      </c>
      <c r="L238">
        <v>0.67</v>
      </c>
      <c r="M238" t="s">
        <v>98</v>
      </c>
      <c r="N238" t="s">
        <v>99</v>
      </c>
    </row>
    <row r="239" spans="1:14" x14ac:dyDescent="0.25">
      <c r="A239" t="s">
        <v>92</v>
      </c>
      <c r="B239" t="s">
        <v>230</v>
      </c>
      <c r="C239" t="s">
        <v>94</v>
      </c>
      <c r="D239" t="s">
        <v>100</v>
      </c>
      <c r="E239" t="s">
        <v>101</v>
      </c>
      <c r="F239">
        <v>150000</v>
      </c>
      <c r="G239" t="s">
        <v>102</v>
      </c>
      <c r="H239">
        <v>600000</v>
      </c>
      <c r="K239">
        <v>0.61</v>
      </c>
      <c r="L239">
        <v>0.76</v>
      </c>
      <c r="M239" t="s">
        <v>98</v>
      </c>
      <c r="N239" t="s">
        <v>99</v>
      </c>
    </row>
    <row r="240" spans="1:14" x14ac:dyDescent="0.25">
      <c r="A240" t="s">
        <v>92</v>
      </c>
      <c r="B240" t="s">
        <v>230</v>
      </c>
      <c r="C240" t="s">
        <v>94</v>
      </c>
      <c r="D240" t="s">
        <v>104</v>
      </c>
      <c r="E240" t="s">
        <v>105</v>
      </c>
      <c r="F240">
        <v>600000</v>
      </c>
      <c r="G240" t="s">
        <v>102</v>
      </c>
      <c r="K240">
        <v>0.76</v>
      </c>
      <c r="L240">
        <v>0.87</v>
      </c>
      <c r="M240" t="s">
        <v>98</v>
      </c>
      <c r="N240" t="s">
        <v>99</v>
      </c>
    </row>
    <row r="241" spans="1:14" x14ac:dyDescent="0.25">
      <c r="A241" t="s">
        <v>92</v>
      </c>
      <c r="B241" t="s">
        <v>231</v>
      </c>
      <c r="C241" t="s">
        <v>116</v>
      </c>
      <c r="D241" t="s">
        <v>95</v>
      </c>
      <c r="E241" t="s">
        <v>132</v>
      </c>
      <c r="F241">
        <v>65000</v>
      </c>
      <c r="G241" t="s">
        <v>97</v>
      </c>
      <c r="H241">
        <v>200000</v>
      </c>
      <c r="I241">
        <v>0.28999999999999998</v>
      </c>
      <c r="J241">
        <v>0.45</v>
      </c>
      <c r="K241">
        <v>0.65</v>
      </c>
      <c r="L241">
        <v>0.81</v>
      </c>
      <c r="M241" t="s">
        <v>98</v>
      </c>
      <c r="N241" t="s">
        <v>99</v>
      </c>
    </row>
    <row r="242" spans="1:14" x14ac:dyDescent="0.25">
      <c r="A242" t="s">
        <v>92</v>
      </c>
      <c r="B242" t="s">
        <v>231</v>
      </c>
      <c r="C242" t="s">
        <v>116</v>
      </c>
      <c r="D242" t="s">
        <v>100</v>
      </c>
      <c r="E242" t="s">
        <v>223</v>
      </c>
      <c r="F242">
        <v>200000</v>
      </c>
      <c r="G242" t="s">
        <v>102</v>
      </c>
      <c r="H242">
        <v>500000</v>
      </c>
      <c r="I242">
        <v>0.28999999999999998</v>
      </c>
      <c r="J242">
        <v>0.43</v>
      </c>
      <c r="K242">
        <v>0.73</v>
      </c>
      <c r="L242">
        <v>0.87</v>
      </c>
      <c r="M242" t="s">
        <v>98</v>
      </c>
      <c r="N242" t="s">
        <v>99</v>
      </c>
    </row>
    <row r="243" spans="1:14" x14ac:dyDescent="0.25">
      <c r="A243" t="s">
        <v>92</v>
      </c>
      <c r="B243" t="s">
        <v>231</v>
      </c>
      <c r="C243" t="s">
        <v>116</v>
      </c>
      <c r="D243" t="s">
        <v>104</v>
      </c>
      <c r="E243" t="s">
        <v>141</v>
      </c>
      <c r="F243">
        <v>500000</v>
      </c>
      <c r="G243" t="s">
        <v>102</v>
      </c>
      <c r="I243">
        <v>0.34</v>
      </c>
      <c r="J243">
        <v>0.46</v>
      </c>
      <c r="K243">
        <v>0.79</v>
      </c>
      <c r="L243">
        <v>0.89</v>
      </c>
      <c r="M243" t="s">
        <v>98</v>
      </c>
      <c r="N243" t="s">
        <v>99</v>
      </c>
    </row>
    <row r="244" spans="1:14" x14ac:dyDescent="0.25">
      <c r="A244" t="s">
        <v>92</v>
      </c>
      <c r="B244" t="s">
        <v>232</v>
      </c>
      <c r="C244" t="s">
        <v>94</v>
      </c>
      <c r="D244" t="s">
        <v>95</v>
      </c>
      <c r="E244" t="s">
        <v>164</v>
      </c>
      <c r="F244">
        <v>65000</v>
      </c>
      <c r="G244" t="s">
        <v>97</v>
      </c>
      <c r="H244">
        <v>300000</v>
      </c>
      <c r="K244">
        <v>0.56000000000000005</v>
      </c>
      <c r="L244">
        <v>0.77</v>
      </c>
      <c r="M244" t="s">
        <v>98</v>
      </c>
      <c r="N244" t="s">
        <v>99</v>
      </c>
    </row>
    <row r="245" spans="1:14" x14ac:dyDescent="0.25">
      <c r="A245" t="s">
        <v>92</v>
      </c>
      <c r="B245" t="s">
        <v>232</v>
      </c>
      <c r="C245" t="s">
        <v>94</v>
      </c>
      <c r="D245" t="s">
        <v>100</v>
      </c>
      <c r="E245" t="s">
        <v>160</v>
      </c>
      <c r="F245">
        <v>300000</v>
      </c>
      <c r="G245" t="s">
        <v>102</v>
      </c>
      <c r="H245">
        <v>900000</v>
      </c>
      <c r="K245">
        <v>0.73</v>
      </c>
      <c r="L245">
        <v>0.85</v>
      </c>
      <c r="M245" t="s">
        <v>98</v>
      </c>
      <c r="N245" t="s">
        <v>99</v>
      </c>
    </row>
    <row r="246" spans="1:14" x14ac:dyDescent="0.25">
      <c r="A246" t="s">
        <v>92</v>
      </c>
      <c r="B246" t="s">
        <v>232</v>
      </c>
      <c r="C246" t="s">
        <v>94</v>
      </c>
      <c r="D246" t="s">
        <v>104</v>
      </c>
      <c r="E246" t="s">
        <v>162</v>
      </c>
      <c r="F246">
        <v>900000</v>
      </c>
      <c r="G246" t="s">
        <v>102</v>
      </c>
      <c r="K246">
        <v>0.81</v>
      </c>
      <c r="L246">
        <v>0.9</v>
      </c>
      <c r="M246" t="s">
        <v>98</v>
      </c>
      <c r="N246" t="s">
        <v>99</v>
      </c>
    </row>
    <row r="247" spans="1:14" x14ac:dyDescent="0.25">
      <c r="A247" t="s">
        <v>92</v>
      </c>
      <c r="B247" t="s">
        <v>233</v>
      </c>
      <c r="C247" t="s">
        <v>116</v>
      </c>
      <c r="D247" t="s">
        <v>95</v>
      </c>
      <c r="E247" t="s">
        <v>313</v>
      </c>
      <c r="F247">
        <v>100000</v>
      </c>
      <c r="G247" t="s">
        <v>97</v>
      </c>
      <c r="H247">
        <v>750000</v>
      </c>
      <c r="I247">
        <v>0.35</v>
      </c>
      <c r="J247">
        <v>0.48</v>
      </c>
      <c r="K247">
        <v>0.79</v>
      </c>
      <c r="L247">
        <v>0.91</v>
      </c>
      <c r="M247" t="s">
        <v>98</v>
      </c>
      <c r="N247" t="s">
        <v>99</v>
      </c>
    </row>
    <row r="248" spans="1:14" x14ac:dyDescent="0.25">
      <c r="A248" t="s">
        <v>92</v>
      </c>
      <c r="B248" t="s">
        <v>233</v>
      </c>
      <c r="C248" t="s">
        <v>116</v>
      </c>
      <c r="D248" t="s">
        <v>100</v>
      </c>
      <c r="E248" t="s">
        <v>314</v>
      </c>
      <c r="F248">
        <v>750000</v>
      </c>
      <c r="G248" t="s">
        <v>102</v>
      </c>
      <c r="H248">
        <v>2500000</v>
      </c>
      <c r="I248">
        <v>0.34</v>
      </c>
      <c r="J248">
        <v>0.43</v>
      </c>
      <c r="K248">
        <v>0.85</v>
      </c>
      <c r="L248">
        <v>0.93</v>
      </c>
      <c r="M248" t="s">
        <v>98</v>
      </c>
      <c r="N248" t="s">
        <v>99</v>
      </c>
    </row>
    <row r="249" spans="1:14" x14ac:dyDescent="0.25">
      <c r="A249" t="s">
        <v>92</v>
      </c>
      <c r="B249" t="s">
        <v>233</v>
      </c>
      <c r="C249" t="s">
        <v>116</v>
      </c>
      <c r="D249" t="s">
        <v>104</v>
      </c>
      <c r="E249" t="s">
        <v>315</v>
      </c>
      <c r="F249">
        <v>2500000</v>
      </c>
      <c r="G249" t="s">
        <v>102</v>
      </c>
      <c r="I249">
        <v>0.32</v>
      </c>
      <c r="J249">
        <v>0.43</v>
      </c>
      <c r="K249">
        <v>0.86</v>
      </c>
      <c r="L249">
        <v>0.93</v>
      </c>
      <c r="M249" t="s">
        <v>98</v>
      </c>
      <c r="N249" t="s">
        <v>99</v>
      </c>
    </row>
    <row r="250" spans="1:14" x14ac:dyDescent="0.25">
      <c r="A250" t="s">
        <v>92</v>
      </c>
      <c r="B250" t="s">
        <v>234</v>
      </c>
      <c r="C250" t="s">
        <v>116</v>
      </c>
      <c r="D250" t="s">
        <v>95</v>
      </c>
      <c r="E250" t="s">
        <v>147</v>
      </c>
      <c r="F250">
        <v>65000</v>
      </c>
      <c r="G250" t="s">
        <v>97</v>
      </c>
      <c r="H250">
        <v>500000</v>
      </c>
      <c r="I250">
        <v>0.33</v>
      </c>
      <c r="J250">
        <v>0.39</v>
      </c>
      <c r="K250">
        <v>0.78</v>
      </c>
      <c r="L250">
        <v>0.89</v>
      </c>
      <c r="M250" t="s">
        <v>98</v>
      </c>
      <c r="N250" t="s">
        <v>99</v>
      </c>
    </row>
    <row r="251" spans="1:14" x14ac:dyDescent="0.25">
      <c r="A251" t="s">
        <v>92</v>
      </c>
      <c r="B251" t="s">
        <v>234</v>
      </c>
      <c r="C251" t="s">
        <v>116</v>
      </c>
      <c r="D251" t="s">
        <v>100</v>
      </c>
      <c r="E251" t="s">
        <v>149</v>
      </c>
      <c r="F251">
        <v>500000</v>
      </c>
      <c r="G251" t="s">
        <v>102</v>
      </c>
      <c r="H251">
        <v>2000000</v>
      </c>
      <c r="I251">
        <v>0.33</v>
      </c>
      <c r="J251">
        <v>0.38</v>
      </c>
      <c r="K251">
        <v>0.84</v>
      </c>
      <c r="L251">
        <v>0.92</v>
      </c>
      <c r="M251" t="s">
        <v>98</v>
      </c>
      <c r="N251" t="s">
        <v>99</v>
      </c>
    </row>
    <row r="252" spans="1:14" x14ac:dyDescent="0.25">
      <c r="A252" t="s">
        <v>92</v>
      </c>
      <c r="B252" t="s">
        <v>234</v>
      </c>
      <c r="C252" t="s">
        <v>116</v>
      </c>
      <c r="D252" t="s">
        <v>104</v>
      </c>
      <c r="E252" t="s">
        <v>151</v>
      </c>
      <c r="F252">
        <v>2000000</v>
      </c>
      <c r="G252" t="s">
        <v>102</v>
      </c>
      <c r="I252">
        <v>0.32</v>
      </c>
      <c r="J252">
        <v>0.37</v>
      </c>
      <c r="K252">
        <v>0.87</v>
      </c>
      <c r="L252">
        <v>0.93</v>
      </c>
      <c r="M252" t="s">
        <v>98</v>
      </c>
      <c r="N252" t="s">
        <v>99</v>
      </c>
    </row>
    <row r="253" spans="1:14" x14ac:dyDescent="0.25">
      <c r="A253" t="s">
        <v>92</v>
      </c>
      <c r="B253" t="s">
        <v>235</v>
      </c>
      <c r="C253" t="s">
        <v>94</v>
      </c>
      <c r="D253" t="s">
        <v>95</v>
      </c>
      <c r="E253" t="s">
        <v>180</v>
      </c>
      <c r="F253">
        <v>50000</v>
      </c>
      <c r="G253" t="s">
        <v>97</v>
      </c>
      <c r="H253">
        <v>200000</v>
      </c>
      <c r="K253">
        <v>0.51</v>
      </c>
      <c r="L253">
        <v>0.7</v>
      </c>
      <c r="M253" t="s">
        <v>98</v>
      </c>
      <c r="N253" t="s">
        <v>99</v>
      </c>
    </row>
    <row r="254" spans="1:14" x14ac:dyDescent="0.25">
      <c r="A254" t="s">
        <v>92</v>
      </c>
      <c r="B254" t="s">
        <v>235</v>
      </c>
      <c r="C254" t="s">
        <v>94</v>
      </c>
      <c r="D254" t="s">
        <v>100</v>
      </c>
      <c r="E254" t="s">
        <v>182</v>
      </c>
      <c r="F254">
        <v>200000</v>
      </c>
      <c r="G254" t="s">
        <v>102</v>
      </c>
      <c r="H254">
        <v>600000</v>
      </c>
      <c r="K254">
        <v>0.63</v>
      </c>
      <c r="L254">
        <v>0.81</v>
      </c>
      <c r="M254" t="s">
        <v>98</v>
      </c>
      <c r="N254" t="s">
        <v>99</v>
      </c>
    </row>
    <row r="255" spans="1:14" x14ac:dyDescent="0.25">
      <c r="A255" t="s">
        <v>92</v>
      </c>
      <c r="B255" t="s">
        <v>235</v>
      </c>
      <c r="C255" t="s">
        <v>94</v>
      </c>
      <c r="D255" t="s">
        <v>104</v>
      </c>
      <c r="E255" t="s">
        <v>105</v>
      </c>
      <c r="F255">
        <v>600000</v>
      </c>
      <c r="G255" t="s">
        <v>102</v>
      </c>
      <c r="K255">
        <v>0.79</v>
      </c>
      <c r="L255">
        <v>0.91</v>
      </c>
      <c r="M255" t="s">
        <v>98</v>
      </c>
      <c r="N255" t="s">
        <v>99</v>
      </c>
    </row>
    <row r="256" spans="1:14" x14ac:dyDescent="0.25">
      <c r="A256" t="s">
        <v>92</v>
      </c>
      <c r="B256" t="s">
        <v>236</v>
      </c>
      <c r="C256" t="s">
        <v>94</v>
      </c>
      <c r="D256" t="s">
        <v>95</v>
      </c>
      <c r="E256" t="s">
        <v>316</v>
      </c>
      <c r="F256">
        <v>50000</v>
      </c>
      <c r="G256" t="s">
        <v>97</v>
      </c>
      <c r="H256">
        <v>325000</v>
      </c>
      <c r="K256">
        <v>0.44</v>
      </c>
      <c r="L256">
        <v>0.64</v>
      </c>
      <c r="M256" t="s">
        <v>98</v>
      </c>
      <c r="N256" t="s">
        <v>99</v>
      </c>
    </row>
    <row r="257" spans="1:14" x14ac:dyDescent="0.25">
      <c r="A257" t="s">
        <v>92</v>
      </c>
      <c r="B257" t="s">
        <v>236</v>
      </c>
      <c r="C257" t="s">
        <v>94</v>
      </c>
      <c r="D257" t="s">
        <v>100</v>
      </c>
      <c r="E257" t="s">
        <v>317</v>
      </c>
      <c r="F257">
        <v>325000</v>
      </c>
      <c r="G257" t="s">
        <v>102</v>
      </c>
      <c r="H257">
        <v>900000</v>
      </c>
      <c r="K257">
        <v>0.66</v>
      </c>
      <c r="L257">
        <v>0.8</v>
      </c>
      <c r="M257" t="s">
        <v>98</v>
      </c>
      <c r="N257" t="s">
        <v>99</v>
      </c>
    </row>
    <row r="258" spans="1:14" x14ac:dyDescent="0.25">
      <c r="A258" t="s">
        <v>92</v>
      </c>
      <c r="B258" t="s">
        <v>236</v>
      </c>
      <c r="C258" t="s">
        <v>94</v>
      </c>
      <c r="D258" t="s">
        <v>104</v>
      </c>
      <c r="E258" t="s">
        <v>162</v>
      </c>
      <c r="F258">
        <v>900000</v>
      </c>
      <c r="G258" t="s">
        <v>102</v>
      </c>
      <c r="K258">
        <v>0.8</v>
      </c>
      <c r="L258">
        <v>0.89</v>
      </c>
      <c r="M258" t="s">
        <v>98</v>
      </c>
      <c r="N258" t="s">
        <v>99</v>
      </c>
    </row>
    <row r="259" spans="1:14" x14ac:dyDescent="0.25">
      <c r="A259" t="s">
        <v>92</v>
      </c>
      <c r="B259" t="s">
        <v>238</v>
      </c>
      <c r="C259" t="s">
        <v>94</v>
      </c>
      <c r="D259" t="s">
        <v>95</v>
      </c>
      <c r="E259" t="s">
        <v>96</v>
      </c>
      <c r="F259">
        <v>50000</v>
      </c>
      <c r="G259" t="s">
        <v>97</v>
      </c>
      <c r="H259">
        <v>150000</v>
      </c>
      <c r="K259">
        <v>0.35</v>
      </c>
      <c r="L259">
        <v>0.59</v>
      </c>
      <c r="M259" t="s">
        <v>98</v>
      </c>
      <c r="N259" t="s">
        <v>99</v>
      </c>
    </row>
    <row r="260" spans="1:14" x14ac:dyDescent="0.25">
      <c r="A260" t="s">
        <v>92</v>
      </c>
      <c r="B260" t="s">
        <v>238</v>
      </c>
      <c r="C260" t="s">
        <v>94</v>
      </c>
      <c r="D260" t="s">
        <v>100</v>
      </c>
      <c r="E260" t="s">
        <v>101</v>
      </c>
      <c r="F260">
        <v>150000</v>
      </c>
      <c r="G260" t="s">
        <v>102</v>
      </c>
      <c r="H260">
        <v>600000</v>
      </c>
      <c r="K260">
        <v>0.57999999999999996</v>
      </c>
      <c r="L260">
        <v>0.75</v>
      </c>
      <c r="M260" t="s">
        <v>98</v>
      </c>
      <c r="N260" t="s">
        <v>99</v>
      </c>
    </row>
    <row r="261" spans="1:14" x14ac:dyDescent="0.25">
      <c r="A261" t="s">
        <v>92</v>
      </c>
      <c r="B261" t="s">
        <v>238</v>
      </c>
      <c r="C261" t="s">
        <v>94</v>
      </c>
      <c r="D261" t="s">
        <v>104</v>
      </c>
      <c r="E261" t="s">
        <v>105</v>
      </c>
      <c r="F261">
        <v>600000</v>
      </c>
      <c r="G261" t="s">
        <v>102</v>
      </c>
      <c r="K261">
        <v>0.7</v>
      </c>
      <c r="L261">
        <v>0.84</v>
      </c>
      <c r="M261" t="s">
        <v>98</v>
      </c>
      <c r="N261" t="s">
        <v>99</v>
      </c>
    </row>
    <row r="262" spans="1:14" x14ac:dyDescent="0.25">
      <c r="A262" t="s">
        <v>92</v>
      </c>
      <c r="B262" t="s">
        <v>240</v>
      </c>
      <c r="C262" t="s">
        <v>116</v>
      </c>
      <c r="D262" t="s">
        <v>95</v>
      </c>
      <c r="E262" t="s">
        <v>143</v>
      </c>
      <c r="F262">
        <v>65000</v>
      </c>
      <c r="G262" t="s">
        <v>97</v>
      </c>
      <c r="H262">
        <v>250000</v>
      </c>
      <c r="I262">
        <v>0.46</v>
      </c>
      <c r="J262">
        <v>0.63</v>
      </c>
      <c r="K262">
        <v>0.71</v>
      </c>
      <c r="L262">
        <v>0.85</v>
      </c>
      <c r="M262" t="s">
        <v>98</v>
      </c>
      <c r="N262" t="s">
        <v>99</v>
      </c>
    </row>
    <row r="263" spans="1:14" x14ac:dyDescent="0.25">
      <c r="A263" t="s">
        <v>92</v>
      </c>
      <c r="B263" t="s">
        <v>240</v>
      </c>
      <c r="C263" t="s">
        <v>116</v>
      </c>
      <c r="D263" t="s">
        <v>100</v>
      </c>
      <c r="E263" t="s">
        <v>119</v>
      </c>
      <c r="F263">
        <v>250000</v>
      </c>
      <c r="G263" t="s">
        <v>102</v>
      </c>
      <c r="H263">
        <v>750000</v>
      </c>
      <c r="I263">
        <v>0.53</v>
      </c>
      <c r="J263">
        <v>0.64</v>
      </c>
      <c r="K263">
        <v>0.78</v>
      </c>
      <c r="L263">
        <v>0.88</v>
      </c>
      <c r="M263" t="s">
        <v>98</v>
      </c>
      <c r="N263" t="s">
        <v>99</v>
      </c>
    </row>
    <row r="264" spans="1:14" x14ac:dyDescent="0.25">
      <c r="A264" t="s">
        <v>92</v>
      </c>
      <c r="B264" t="s">
        <v>240</v>
      </c>
      <c r="C264" t="s">
        <v>116</v>
      </c>
      <c r="D264" t="s">
        <v>104</v>
      </c>
      <c r="E264" t="s">
        <v>121</v>
      </c>
      <c r="F264">
        <v>750000</v>
      </c>
      <c r="G264" t="s">
        <v>102</v>
      </c>
      <c r="I264">
        <v>0.59</v>
      </c>
      <c r="J264">
        <v>0.66</v>
      </c>
      <c r="K264">
        <v>0.86</v>
      </c>
      <c r="L264">
        <v>0.92</v>
      </c>
      <c r="M264" t="s">
        <v>98</v>
      </c>
      <c r="N264" t="s">
        <v>99</v>
      </c>
    </row>
    <row r="265" spans="1:14" x14ac:dyDescent="0.25">
      <c r="A265" t="s">
        <v>92</v>
      </c>
      <c r="B265" t="s">
        <v>242</v>
      </c>
      <c r="C265" t="s">
        <v>116</v>
      </c>
      <c r="D265" t="s">
        <v>95</v>
      </c>
      <c r="E265" t="s">
        <v>143</v>
      </c>
      <c r="F265">
        <v>65000</v>
      </c>
      <c r="G265" t="s">
        <v>97</v>
      </c>
      <c r="H265">
        <v>250000</v>
      </c>
      <c r="I265">
        <v>0.41</v>
      </c>
      <c r="J265">
        <v>0.56000000000000005</v>
      </c>
      <c r="K265">
        <v>0.69</v>
      </c>
      <c r="L265">
        <v>0.82</v>
      </c>
      <c r="M265" t="s">
        <v>98</v>
      </c>
      <c r="N265" t="s">
        <v>99</v>
      </c>
    </row>
    <row r="266" spans="1:14" x14ac:dyDescent="0.25">
      <c r="A266" t="s">
        <v>92</v>
      </c>
      <c r="B266" t="s">
        <v>242</v>
      </c>
      <c r="C266" t="s">
        <v>116</v>
      </c>
      <c r="D266" t="s">
        <v>100</v>
      </c>
      <c r="E266" t="s">
        <v>119</v>
      </c>
      <c r="F266">
        <v>250000</v>
      </c>
      <c r="G266" t="s">
        <v>102</v>
      </c>
      <c r="H266">
        <v>750000</v>
      </c>
      <c r="I266">
        <v>0.47</v>
      </c>
      <c r="J266">
        <v>0.57999999999999996</v>
      </c>
      <c r="K266">
        <v>0.8</v>
      </c>
      <c r="L266">
        <v>0.88</v>
      </c>
      <c r="M266" t="s">
        <v>98</v>
      </c>
      <c r="N266" t="s">
        <v>99</v>
      </c>
    </row>
    <row r="267" spans="1:14" x14ac:dyDescent="0.25">
      <c r="A267" t="s">
        <v>92</v>
      </c>
      <c r="B267" t="s">
        <v>242</v>
      </c>
      <c r="C267" t="s">
        <v>116</v>
      </c>
      <c r="D267" t="s">
        <v>104</v>
      </c>
      <c r="E267" t="s">
        <v>121</v>
      </c>
      <c r="F267">
        <v>750000</v>
      </c>
      <c r="G267" t="s">
        <v>102</v>
      </c>
      <c r="I267">
        <v>0.53</v>
      </c>
      <c r="J267">
        <v>0.63</v>
      </c>
      <c r="K267">
        <v>0.88</v>
      </c>
      <c r="L267">
        <v>0.92</v>
      </c>
      <c r="M267" t="s">
        <v>98</v>
      </c>
      <c r="N267" t="s">
        <v>99</v>
      </c>
    </row>
    <row r="268" spans="1:14" x14ac:dyDescent="0.25">
      <c r="A268" t="s">
        <v>92</v>
      </c>
      <c r="B268" t="s">
        <v>243</v>
      </c>
      <c r="C268" t="s">
        <v>116</v>
      </c>
      <c r="D268" t="s">
        <v>95</v>
      </c>
      <c r="E268" t="s">
        <v>132</v>
      </c>
      <c r="F268">
        <v>65000</v>
      </c>
      <c r="G268" t="s">
        <v>97</v>
      </c>
      <c r="H268">
        <v>200000</v>
      </c>
      <c r="I268">
        <v>0.34</v>
      </c>
      <c r="J268">
        <v>0.42</v>
      </c>
      <c r="K268">
        <v>0.69</v>
      </c>
      <c r="L268">
        <v>0.81</v>
      </c>
      <c r="M268" t="s">
        <v>98</v>
      </c>
      <c r="N268" t="s">
        <v>99</v>
      </c>
    </row>
    <row r="269" spans="1:14" x14ac:dyDescent="0.25">
      <c r="A269" t="s">
        <v>92</v>
      </c>
      <c r="B269" t="s">
        <v>243</v>
      </c>
      <c r="C269" t="s">
        <v>116</v>
      </c>
      <c r="D269" t="s">
        <v>100</v>
      </c>
      <c r="E269" t="s">
        <v>182</v>
      </c>
      <c r="F269">
        <v>200000</v>
      </c>
      <c r="G269" t="s">
        <v>102</v>
      </c>
      <c r="H269">
        <v>600000</v>
      </c>
      <c r="I269">
        <v>0.36</v>
      </c>
      <c r="J269">
        <v>0.44</v>
      </c>
      <c r="K269">
        <v>0.76</v>
      </c>
      <c r="L269">
        <v>0.87</v>
      </c>
      <c r="M269" t="s">
        <v>98</v>
      </c>
      <c r="N269" t="s">
        <v>99</v>
      </c>
    </row>
    <row r="270" spans="1:14" x14ac:dyDescent="0.25">
      <c r="A270" t="s">
        <v>92</v>
      </c>
      <c r="B270" t="s">
        <v>243</v>
      </c>
      <c r="C270" t="s">
        <v>116</v>
      </c>
      <c r="D270" t="s">
        <v>104</v>
      </c>
      <c r="E270" t="s">
        <v>105</v>
      </c>
      <c r="F270">
        <v>600000</v>
      </c>
      <c r="G270" t="s">
        <v>102</v>
      </c>
      <c r="I270">
        <v>0.35</v>
      </c>
      <c r="J270">
        <v>0.41</v>
      </c>
      <c r="K270">
        <v>0.84</v>
      </c>
      <c r="L270">
        <v>0.93</v>
      </c>
      <c r="M270" t="s">
        <v>98</v>
      </c>
      <c r="N270" t="s">
        <v>99</v>
      </c>
    </row>
    <row r="271" spans="1:14" x14ac:dyDescent="0.25">
      <c r="A271" t="s">
        <v>92</v>
      </c>
      <c r="B271" t="s">
        <v>244</v>
      </c>
      <c r="C271" t="s">
        <v>94</v>
      </c>
      <c r="D271" t="s">
        <v>95</v>
      </c>
      <c r="E271" t="s">
        <v>96</v>
      </c>
      <c r="F271">
        <v>50000</v>
      </c>
      <c r="G271" t="s">
        <v>97</v>
      </c>
      <c r="H271">
        <v>150000</v>
      </c>
      <c r="K271">
        <v>0.37</v>
      </c>
      <c r="L271">
        <v>0.54</v>
      </c>
      <c r="M271" t="s">
        <v>98</v>
      </c>
      <c r="N271" t="s">
        <v>99</v>
      </c>
    </row>
    <row r="272" spans="1:14" x14ac:dyDescent="0.25">
      <c r="A272" t="s">
        <v>92</v>
      </c>
      <c r="B272" t="s">
        <v>244</v>
      </c>
      <c r="C272" t="s">
        <v>94</v>
      </c>
      <c r="D272" t="s">
        <v>100</v>
      </c>
      <c r="E272" t="s">
        <v>101</v>
      </c>
      <c r="F272">
        <v>150000</v>
      </c>
      <c r="G272" t="s">
        <v>102</v>
      </c>
      <c r="H272">
        <v>600000</v>
      </c>
      <c r="K272">
        <v>0.56000000000000005</v>
      </c>
      <c r="L272">
        <v>0.74</v>
      </c>
      <c r="M272" t="s">
        <v>98</v>
      </c>
      <c r="N272" t="s">
        <v>99</v>
      </c>
    </row>
    <row r="273" spans="1:14" x14ac:dyDescent="0.25">
      <c r="A273" t="s">
        <v>92</v>
      </c>
      <c r="B273" t="s">
        <v>244</v>
      </c>
      <c r="C273" t="s">
        <v>94</v>
      </c>
      <c r="D273" t="s">
        <v>104</v>
      </c>
      <c r="E273" t="s">
        <v>105</v>
      </c>
      <c r="F273">
        <v>600000</v>
      </c>
      <c r="G273" t="s">
        <v>102</v>
      </c>
      <c r="K273">
        <v>0.8</v>
      </c>
      <c r="L273">
        <v>0.9</v>
      </c>
      <c r="M273" t="s">
        <v>98</v>
      </c>
      <c r="N273" t="s">
        <v>99</v>
      </c>
    </row>
    <row r="274" spans="1:14" x14ac:dyDescent="0.25">
      <c r="A274" t="s">
        <v>92</v>
      </c>
      <c r="B274" t="s">
        <v>245</v>
      </c>
      <c r="C274" t="s">
        <v>94</v>
      </c>
      <c r="D274" t="s">
        <v>95</v>
      </c>
      <c r="E274" t="s">
        <v>174</v>
      </c>
      <c r="F274">
        <v>50000</v>
      </c>
      <c r="G274" t="s">
        <v>97</v>
      </c>
      <c r="H274">
        <v>100000</v>
      </c>
      <c r="K274">
        <v>0.42</v>
      </c>
      <c r="L274">
        <v>0.56999999999999995</v>
      </c>
      <c r="M274" t="s">
        <v>98</v>
      </c>
      <c r="N274" t="s">
        <v>99</v>
      </c>
    </row>
    <row r="275" spans="1:14" x14ac:dyDescent="0.25">
      <c r="A275" t="s">
        <v>92</v>
      </c>
      <c r="B275" t="s">
        <v>245</v>
      </c>
      <c r="C275" t="s">
        <v>94</v>
      </c>
      <c r="D275" t="s">
        <v>100</v>
      </c>
      <c r="E275" t="s">
        <v>318</v>
      </c>
      <c r="F275">
        <v>100000</v>
      </c>
      <c r="G275" t="s">
        <v>102</v>
      </c>
      <c r="H275">
        <v>200000</v>
      </c>
      <c r="K275">
        <v>0.47</v>
      </c>
      <c r="L275">
        <v>0.64</v>
      </c>
      <c r="M275" t="s">
        <v>98</v>
      </c>
      <c r="N275" t="s">
        <v>99</v>
      </c>
    </row>
    <row r="276" spans="1:14" x14ac:dyDescent="0.25">
      <c r="A276" t="s">
        <v>92</v>
      </c>
      <c r="B276" t="s">
        <v>245</v>
      </c>
      <c r="C276" t="s">
        <v>94</v>
      </c>
      <c r="D276" t="s">
        <v>104</v>
      </c>
      <c r="E276" t="s">
        <v>319</v>
      </c>
      <c r="F276">
        <v>200000</v>
      </c>
      <c r="G276" t="s">
        <v>102</v>
      </c>
      <c r="K276">
        <v>0.63</v>
      </c>
      <c r="L276">
        <v>0.79</v>
      </c>
      <c r="M276" t="s">
        <v>98</v>
      </c>
      <c r="N276" t="s">
        <v>99</v>
      </c>
    </row>
    <row r="277" spans="1:14" x14ac:dyDescent="0.25">
      <c r="A277" t="s">
        <v>92</v>
      </c>
      <c r="B277" t="s">
        <v>247</v>
      </c>
      <c r="C277" t="s">
        <v>116</v>
      </c>
      <c r="D277" t="s">
        <v>95</v>
      </c>
      <c r="E277" t="s">
        <v>320</v>
      </c>
      <c r="F277">
        <v>100000</v>
      </c>
      <c r="G277" t="s">
        <v>97</v>
      </c>
      <c r="H277">
        <v>700000</v>
      </c>
      <c r="I277">
        <v>0.7</v>
      </c>
      <c r="J277">
        <v>0.81</v>
      </c>
      <c r="K277">
        <v>0.89</v>
      </c>
      <c r="L277">
        <v>0.93</v>
      </c>
      <c r="M277" t="s">
        <v>98</v>
      </c>
      <c r="N277" t="s">
        <v>99</v>
      </c>
    </row>
    <row r="278" spans="1:14" x14ac:dyDescent="0.25">
      <c r="A278" t="s">
        <v>92</v>
      </c>
      <c r="B278" t="s">
        <v>247</v>
      </c>
      <c r="C278" t="s">
        <v>116</v>
      </c>
      <c r="D278" t="s">
        <v>100</v>
      </c>
      <c r="E278" t="s">
        <v>321</v>
      </c>
      <c r="F278">
        <v>700000</v>
      </c>
      <c r="G278" t="s">
        <v>102</v>
      </c>
      <c r="H278">
        <v>1500000</v>
      </c>
      <c r="I278">
        <v>0.8</v>
      </c>
      <c r="J278">
        <v>0.87</v>
      </c>
      <c r="K278">
        <v>0.93</v>
      </c>
      <c r="L278">
        <v>0.97</v>
      </c>
      <c r="M278" t="s">
        <v>98</v>
      </c>
      <c r="N278" t="s">
        <v>99</v>
      </c>
    </row>
    <row r="279" spans="1:14" x14ac:dyDescent="0.25">
      <c r="A279" t="s">
        <v>92</v>
      </c>
      <c r="B279" t="s">
        <v>247</v>
      </c>
      <c r="C279" t="s">
        <v>116</v>
      </c>
      <c r="D279" t="s">
        <v>104</v>
      </c>
      <c r="E279" t="s">
        <v>299</v>
      </c>
      <c r="F279">
        <v>1500000</v>
      </c>
      <c r="G279" t="s">
        <v>102</v>
      </c>
      <c r="I279">
        <v>0.88</v>
      </c>
      <c r="J279">
        <v>0.92</v>
      </c>
      <c r="K279">
        <v>0.95</v>
      </c>
      <c r="L279">
        <v>0.98</v>
      </c>
      <c r="M279" t="s">
        <v>98</v>
      </c>
      <c r="N279" t="s">
        <v>99</v>
      </c>
    </row>
    <row r="280" spans="1:14" x14ac:dyDescent="0.25">
      <c r="A280" t="s">
        <v>92</v>
      </c>
      <c r="B280" t="s">
        <v>249</v>
      </c>
      <c r="C280" t="s">
        <v>94</v>
      </c>
      <c r="D280" t="s">
        <v>95</v>
      </c>
      <c r="E280" t="s">
        <v>180</v>
      </c>
      <c r="F280">
        <v>50000</v>
      </c>
      <c r="G280" t="s">
        <v>97</v>
      </c>
      <c r="H280">
        <v>200000</v>
      </c>
      <c r="K280">
        <v>0.54</v>
      </c>
      <c r="L280">
        <v>0.72</v>
      </c>
      <c r="M280" t="s">
        <v>98</v>
      </c>
      <c r="N280" t="s">
        <v>99</v>
      </c>
    </row>
    <row r="281" spans="1:14" x14ac:dyDescent="0.25">
      <c r="A281" t="s">
        <v>92</v>
      </c>
      <c r="B281" t="s">
        <v>249</v>
      </c>
      <c r="C281" t="s">
        <v>94</v>
      </c>
      <c r="D281" t="s">
        <v>100</v>
      </c>
      <c r="E281" t="s">
        <v>223</v>
      </c>
      <c r="F281">
        <v>200000</v>
      </c>
      <c r="G281" t="s">
        <v>102</v>
      </c>
      <c r="H281">
        <v>500000</v>
      </c>
      <c r="K281">
        <v>0.63</v>
      </c>
      <c r="L281">
        <v>0.8</v>
      </c>
      <c r="M281" t="s">
        <v>98</v>
      </c>
      <c r="N281" t="s">
        <v>99</v>
      </c>
    </row>
    <row r="282" spans="1:14" x14ac:dyDescent="0.25">
      <c r="A282" t="s">
        <v>92</v>
      </c>
      <c r="B282" t="s">
        <v>249</v>
      </c>
      <c r="C282" t="s">
        <v>94</v>
      </c>
      <c r="D282" t="s">
        <v>104</v>
      </c>
      <c r="E282" t="s">
        <v>141</v>
      </c>
      <c r="F282">
        <v>500000</v>
      </c>
      <c r="G282" t="s">
        <v>102</v>
      </c>
      <c r="K282">
        <v>0.75</v>
      </c>
      <c r="L282">
        <v>0.88</v>
      </c>
      <c r="M282" t="s">
        <v>98</v>
      </c>
      <c r="N282" t="s">
        <v>99</v>
      </c>
    </row>
    <row r="283" spans="1:14" x14ac:dyDescent="0.25">
      <c r="A283" t="s">
        <v>92</v>
      </c>
      <c r="B283" t="s">
        <v>251</v>
      </c>
      <c r="C283" t="s">
        <v>116</v>
      </c>
      <c r="D283" t="s">
        <v>95</v>
      </c>
      <c r="E283" t="s">
        <v>128</v>
      </c>
      <c r="F283">
        <v>65000</v>
      </c>
      <c r="G283" t="s">
        <v>97</v>
      </c>
      <c r="H283">
        <v>150000</v>
      </c>
      <c r="I283">
        <v>0.47</v>
      </c>
      <c r="J283">
        <v>0.65</v>
      </c>
      <c r="K283">
        <v>0.72</v>
      </c>
      <c r="L283">
        <v>0.84</v>
      </c>
      <c r="M283" t="s">
        <v>98</v>
      </c>
      <c r="N283" t="s">
        <v>99</v>
      </c>
    </row>
    <row r="284" spans="1:14" x14ac:dyDescent="0.25">
      <c r="A284" t="s">
        <v>92</v>
      </c>
      <c r="B284" t="s">
        <v>251</v>
      </c>
      <c r="C284" t="s">
        <v>116</v>
      </c>
      <c r="D284" t="s">
        <v>100</v>
      </c>
      <c r="E284" t="s">
        <v>322</v>
      </c>
      <c r="F284">
        <v>150000</v>
      </c>
      <c r="G284" t="s">
        <v>102</v>
      </c>
      <c r="H284">
        <v>550000</v>
      </c>
      <c r="I284">
        <v>0.52</v>
      </c>
      <c r="J284">
        <v>0.64</v>
      </c>
      <c r="K284">
        <v>0.79</v>
      </c>
      <c r="L284">
        <v>0.88</v>
      </c>
      <c r="M284" t="s">
        <v>98</v>
      </c>
      <c r="N284" t="s">
        <v>99</v>
      </c>
    </row>
    <row r="285" spans="1:14" x14ac:dyDescent="0.25">
      <c r="A285" t="s">
        <v>92</v>
      </c>
      <c r="B285" t="s">
        <v>251</v>
      </c>
      <c r="C285" t="s">
        <v>116</v>
      </c>
      <c r="D285" t="s">
        <v>104</v>
      </c>
      <c r="E285" t="s">
        <v>323</v>
      </c>
      <c r="F285">
        <v>550000</v>
      </c>
      <c r="G285" t="s">
        <v>102</v>
      </c>
      <c r="I285">
        <v>0.56000000000000005</v>
      </c>
      <c r="J285">
        <v>0.64</v>
      </c>
      <c r="K285">
        <v>0.85</v>
      </c>
      <c r="L285">
        <v>0.92</v>
      </c>
      <c r="M285" t="s">
        <v>98</v>
      </c>
      <c r="N285" t="s">
        <v>99</v>
      </c>
    </row>
    <row r="286" spans="1:14" x14ac:dyDescent="0.25">
      <c r="A286" t="s">
        <v>92</v>
      </c>
      <c r="B286" t="s">
        <v>252</v>
      </c>
      <c r="C286" t="s">
        <v>94</v>
      </c>
      <c r="D286" t="s">
        <v>95</v>
      </c>
      <c r="E286" t="s">
        <v>311</v>
      </c>
      <c r="F286">
        <v>50000</v>
      </c>
      <c r="G286" t="s">
        <v>97</v>
      </c>
      <c r="H286">
        <v>300000</v>
      </c>
      <c r="K286">
        <v>0.32</v>
      </c>
      <c r="L286">
        <v>0.63</v>
      </c>
      <c r="M286" t="s">
        <v>98</v>
      </c>
      <c r="N286" t="s">
        <v>99</v>
      </c>
    </row>
    <row r="287" spans="1:14" x14ac:dyDescent="0.25">
      <c r="A287" t="s">
        <v>92</v>
      </c>
      <c r="B287" t="s">
        <v>252</v>
      </c>
      <c r="C287" t="s">
        <v>94</v>
      </c>
      <c r="D287" t="s">
        <v>100</v>
      </c>
      <c r="E287" t="s">
        <v>324</v>
      </c>
      <c r="F287">
        <v>300000</v>
      </c>
      <c r="G287" t="s">
        <v>102</v>
      </c>
      <c r="H287">
        <v>800000</v>
      </c>
      <c r="K287">
        <v>0.59</v>
      </c>
      <c r="L287">
        <v>0.8</v>
      </c>
      <c r="M287" t="s">
        <v>98</v>
      </c>
      <c r="N287" t="s">
        <v>99</v>
      </c>
    </row>
    <row r="288" spans="1:14" x14ac:dyDescent="0.25">
      <c r="A288" t="s">
        <v>92</v>
      </c>
      <c r="B288" t="s">
        <v>252</v>
      </c>
      <c r="C288" t="s">
        <v>94</v>
      </c>
      <c r="D288" t="s">
        <v>104</v>
      </c>
      <c r="E288" t="s">
        <v>325</v>
      </c>
      <c r="F288">
        <v>800000</v>
      </c>
      <c r="G288" t="s">
        <v>102</v>
      </c>
      <c r="K288">
        <v>0.7</v>
      </c>
      <c r="L288">
        <v>0.86</v>
      </c>
      <c r="M288" t="s">
        <v>98</v>
      </c>
      <c r="N288" t="s">
        <v>99</v>
      </c>
    </row>
    <row r="289" spans="1:22" x14ac:dyDescent="0.25">
      <c r="A289" t="s">
        <v>92</v>
      </c>
      <c r="B289" t="s">
        <v>253</v>
      </c>
      <c r="C289" t="s">
        <v>116</v>
      </c>
      <c r="D289" t="s">
        <v>95</v>
      </c>
      <c r="E289" t="s">
        <v>326</v>
      </c>
      <c r="F289">
        <v>65000</v>
      </c>
      <c r="G289" t="s">
        <v>97</v>
      </c>
      <c r="H289">
        <v>1000000</v>
      </c>
      <c r="I289">
        <v>0.56000000000000005</v>
      </c>
      <c r="J289">
        <v>0.69</v>
      </c>
      <c r="K289">
        <v>0.84</v>
      </c>
      <c r="L289">
        <v>0.92</v>
      </c>
      <c r="M289" t="s">
        <v>98</v>
      </c>
      <c r="N289" t="s">
        <v>99</v>
      </c>
    </row>
    <row r="290" spans="1:22" x14ac:dyDescent="0.25">
      <c r="A290" t="s">
        <v>92</v>
      </c>
      <c r="B290" t="s">
        <v>253</v>
      </c>
      <c r="C290" t="s">
        <v>116</v>
      </c>
      <c r="D290" t="s">
        <v>100</v>
      </c>
      <c r="E290" t="s">
        <v>327</v>
      </c>
      <c r="F290">
        <v>1000000</v>
      </c>
      <c r="G290" t="s">
        <v>102</v>
      </c>
      <c r="H290">
        <v>2500000</v>
      </c>
      <c r="I290">
        <v>0.59</v>
      </c>
      <c r="J290">
        <v>0.66</v>
      </c>
      <c r="K290">
        <v>0.89</v>
      </c>
      <c r="L290">
        <v>0.93</v>
      </c>
      <c r="M290" t="s">
        <v>98</v>
      </c>
      <c r="N290" t="s">
        <v>99</v>
      </c>
    </row>
    <row r="291" spans="1:22" x14ac:dyDescent="0.25">
      <c r="A291" t="s">
        <v>92</v>
      </c>
      <c r="B291" t="s">
        <v>253</v>
      </c>
      <c r="C291" t="s">
        <v>116</v>
      </c>
      <c r="D291" t="s">
        <v>104</v>
      </c>
      <c r="E291" t="s">
        <v>315</v>
      </c>
      <c r="F291">
        <v>2500000</v>
      </c>
      <c r="G291" t="s">
        <v>102</v>
      </c>
      <c r="I291">
        <v>0.62</v>
      </c>
      <c r="J291">
        <v>0.68</v>
      </c>
      <c r="K291">
        <v>0.9</v>
      </c>
      <c r="L291">
        <v>0.94</v>
      </c>
      <c r="M291" t="s">
        <v>98</v>
      </c>
      <c r="N291" t="s">
        <v>99</v>
      </c>
    </row>
    <row r="292" spans="1:22" x14ac:dyDescent="0.25">
      <c r="A292" t="s">
        <v>92</v>
      </c>
      <c r="B292" t="s">
        <v>254</v>
      </c>
      <c r="C292" t="s">
        <v>94</v>
      </c>
      <c r="D292" t="s">
        <v>95</v>
      </c>
      <c r="E292" t="s">
        <v>158</v>
      </c>
      <c r="F292">
        <v>100000</v>
      </c>
      <c r="G292" t="s">
        <v>97</v>
      </c>
      <c r="H292">
        <v>300000</v>
      </c>
      <c r="K292">
        <v>0.43</v>
      </c>
      <c r="L292">
        <v>0.65</v>
      </c>
      <c r="M292" t="s">
        <v>98</v>
      </c>
      <c r="N292" t="s">
        <v>99</v>
      </c>
    </row>
    <row r="293" spans="1:22" x14ac:dyDescent="0.25">
      <c r="A293" t="s">
        <v>92</v>
      </c>
      <c r="B293" t="s">
        <v>254</v>
      </c>
      <c r="C293" t="s">
        <v>94</v>
      </c>
      <c r="D293" t="s">
        <v>100</v>
      </c>
      <c r="E293" t="s">
        <v>324</v>
      </c>
      <c r="F293">
        <v>300000</v>
      </c>
      <c r="G293" t="s">
        <v>102</v>
      </c>
      <c r="H293">
        <v>800000</v>
      </c>
      <c r="K293">
        <v>0.56000000000000005</v>
      </c>
      <c r="L293">
        <v>0.78</v>
      </c>
      <c r="M293" t="s">
        <v>98</v>
      </c>
      <c r="N293" t="s">
        <v>99</v>
      </c>
    </row>
    <row r="294" spans="1:22" x14ac:dyDescent="0.25">
      <c r="A294" t="s">
        <v>92</v>
      </c>
      <c r="B294" t="s">
        <v>254</v>
      </c>
      <c r="C294" t="s">
        <v>94</v>
      </c>
      <c r="D294" t="s">
        <v>104</v>
      </c>
      <c r="E294" t="s">
        <v>325</v>
      </c>
      <c r="F294">
        <v>800000</v>
      </c>
      <c r="G294" t="s">
        <v>102</v>
      </c>
      <c r="K294">
        <v>0.74</v>
      </c>
      <c r="L294">
        <v>0.84</v>
      </c>
      <c r="M294" t="s">
        <v>98</v>
      </c>
      <c r="N294" t="s">
        <v>99</v>
      </c>
    </row>
    <row r="295" spans="1:22" x14ac:dyDescent="0.25">
      <c r="A295" t="s">
        <v>92</v>
      </c>
      <c r="B295" t="s">
        <v>255</v>
      </c>
      <c r="C295" t="s">
        <v>116</v>
      </c>
      <c r="D295" t="s">
        <v>95</v>
      </c>
      <c r="E295" t="s">
        <v>143</v>
      </c>
      <c r="F295">
        <v>65000</v>
      </c>
      <c r="G295" t="s">
        <v>97</v>
      </c>
      <c r="H295">
        <v>250000</v>
      </c>
      <c r="I295">
        <v>0.31</v>
      </c>
      <c r="J295">
        <v>0.47</v>
      </c>
      <c r="K295">
        <v>0.66</v>
      </c>
      <c r="L295">
        <v>0.8</v>
      </c>
      <c r="M295" t="s">
        <v>98</v>
      </c>
      <c r="N295" t="s">
        <v>99</v>
      </c>
    </row>
    <row r="296" spans="1:22" x14ac:dyDescent="0.25">
      <c r="A296" t="s">
        <v>92</v>
      </c>
      <c r="B296" t="s">
        <v>255</v>
      </c>
      <c r="C296" t="s">
        <v>116</v>
      </c>
      <c r="D296" t="s">
        <v>100</v>
      </c>
      <c r="E296" t="s">
        <v>119</v>
      </c>
      <c r="F296">
        <v>250000</v>
      </c>
      <c r="G296" t="s">
        <v>102</v>
      </c>
      <c r="H296">
        <v>750000</v>
      </c>
      <c r="I296">
        <v>0.38</v>
      </c>
      <c r="J296">
        <v>0.5</v>
      </c>
      <c r="K296">
        <v>0.73</v>
      </c>
      <c r="L296">
        <v>0.85</v>
      </c>
      <c r="M296" t="s">
        <v>98</v>
      </c>
      <c r="N296" t="s">
        <v>99</v>
      </c>
    </row>
    <row r="297" spans="1:22" x14ac:dyDescent="0.25">
      <c r="A297" t="s">
        <v>92</v>
      </c>
      <c r="B297" t="s">
        <v>255</v>
      </c>
      <c r="C297" t="s">
        <v>116</v>
      </c>
      <c r="D297" t="s">
        <v>104</v>
      </c>
      <c r="E297" t="s">
        <v>121</v>
      </c>
      <c r="F297">
        <v>750000</v>
      </c>
      <c r="G297" t="s">
        <v>102</v>
      </c>
      <c r="I297">
        <v>0.46</v>
      </c>
      <c r="J297">
        <v>0.56999999999999995</v>
      </c>
      <c r="K297">
        <v>0.82</v>
      </c>
      <c r="L297">
        <v>0.9</v>
      </c>
      <c r="M297" t="s">
        <v>98</v>
      </c>
      <c r="N297" t="s">
        <v>99</v>
      </c>
    </row>
    <row r="298" spans="1:22" x14ac:dyDescent="0.25">
      <c r="A298" t="s">
        <v>328</v>
      </c>
      <c r="B298" t="s">
        <v>93</v>
      </c>
      <c r="C298" t="s">
        <v>94</v>
      </c>
      <c r="D298" t="s">
        <v>95</v>
      </c>
      <c r="E298" t="s">
        <v>96</v>
      </c>
      <c r="F298">
        <v>50000</v>
      </c>
      <c r="G298" t="s">
        <v>97</v>
      </c>
      <c r="H298">
        <v>150000</v>
      </c>
      <c r="I298">
        <v>0.26</v>
      </c>
      <c r="J298">
        <v>0.45</v>
      </c>
      <c r="K298">
        <v>0.54</v>
      </c>
      <c r="L298">
        <v>0.73</v>
      </c>
      <c r="M298" t="s">
        <v>98</v>
      </c>
      <c r="N298" t="s">
        <v>329</v>
      </c>
      <c r="Q298">
        <v>0.04</v>
      </c>
      <c r="R298">
        <v>0.08</v>
      </c>
      <c r="S298">
        <v>7.0000000000000007E-2</v>
      </c>
      <c r="T298">
        <v>0.1</v>
      </c>
      <c r="U298" t="s">
        <v>330</v>
      </c>
      <c r="V298" t="s">
        <v>331</v>
      </c>
    </row>
    <row r="299" spans="1:22" x14ac:dyDescent="0.25">
      <c r="A299" t="s">
        <v>328</v>
      </c>
      <c r="B299" t="s">
        <v>93</v>
      </c>
      <c r="C299" t="s">
        <v>94</v>
      </c>
      <c r="D299" t="s">
        <v>100</v>
      </c>
      <c r="E299" t="s">
        <v>101</v>
      </c>
      <c r="F299">
        <v>150000</v>
      </c>
      <c r="G299" t="s">
        <v>102</v>
      </c>
      <c r="H299">
        <v>600000</v>
      </c>
      <c r="I299">
        <v>0.34</v>
      </c>
      <c r="J299">
        <v>0.49</v>
      </c>
      <c r="K299">
        <v>0.65</v>
      </c>
      <c r="L299">
        <v>0.78</v>
      </c>
      <c r="M299" t="s">
        <v>98</v>
      </c>
      <c r="N299" t="s">
        <v>329</v>
      </c>
      <c r="Q299">
        <v>0.03</v>
      </c>
      <c r="R299">
        <v>0.06</v>
      </c>
      <c r="S299">
        <v>0.04</v>
      </c>
      <c r="T299">
        <v>0.06</v>
      </c>
      <c r="U299" t="s">
        <v>330</v>
      </c>
      <c r="V299" t="s">
        <v>331</v>
      </c>
    </row>
    <row r="300" spans="1:22" x14ac:dyDescent="0.25">
      <c r="A300" t="s">
        <v>328</v>
      </c>
      <c r="B300" t="s">
        <v>93</v>
      </c>
      <c r="C300" t="s">
        <v>94</v>
      </c>
      <c r="D300" t="s">
        <v>104</v>
      </c>
      <c r="E300" t="s">
        <v>105</v>
      </c>
      <c r="F300">
        <v>600000</v>
      </c>
      <c r="G300" t="s">
        <v>102</v>
      </c>
      <c r="I300">
        <v>0.41</v>
      </c>
      <c r="J300">
        <v>0.53</v>
      </c>
      <c r="K300">
        <v>0.79</v>
      </c>
      <c r="L300">
        <v>0.89</v>
      </c>
      <c r="M300" t="s">
        <v>98</v>
      </c>
      <c r="N300" t="s">
        <v>329</v>
      </c>
      <c r="Q300">
        <v>0.02</v>
      </c>
      <c r="R300">
        <v>0.03</v>
      </c>
      <c r="S300">
        <v>0.02</v>
      </c>
      <c r="T300">
        <v>0.04</v>
      </c>
      <c r="U300" t="s">
        <v>330</v>
      </c>
      <c r="V300" t="s">
        <v>331</v>
      </c>
    </row>
    <row r="301" spans="1:22" x14ac:dyDescent="0.25">
      <c r="A301" t="s">
        <v>328</v>
      </c>
      <c r="B301" t="s">
        <v>103</v>
      </c>
      <c r="C301" t="s">
        <v>94</v>
      </c>
      <c r="D301" t="s">
        <v>95</v>
      </c>
      <c r="E301" t="s">
        <v>96</v>
      </c>
      <c r="F301">
        <v>50000</v>
      </c>
      <c r="G301" t="s">
        <v>97</v>
      </c>
      <c r="H301">
        <v>150000</v>
      </c>
      <c r="I301">
        <v>0.2</v>
      </c>
      <c r="J301">
        <v>0.4</v>
      </c>
      <c r="K301">
        <v>0.53</v>
      </c>
      <c r="L301">
        <v>0.71</v>
      </c>
      <c r="M301" t="s">
        <v>98</v>
      </c>
      <c r="N301" t="s">
        <v>329</v>
      </c>
      <c r="O301">
        <v>0.23</v>
      </c>
      <c r="P301">
        <v>0.39</v>
      </c>
      <c r="Q301">
        <v>0.06</v>
      </c>
      <c r="R301">
        <v>0.09</v>
      </c>
      <c r="S301">
        <v>0.06</v>
      </c>
      <c r="T301">
        <v>0.1</v>
      </c>
      <c r="U301" t="s">
        <v>332</v>
      </c>
      <c r="V301" t="s">
        <v>333</v>
      </c>
    </row>
    <row r="302" spans="1:22" x14ac:dyDescent="0.25">
      <c r="A302" t="s">
        <v>328</v>
      </c>
      <c r="B302" t="s">
        <v>103</v>
      </c>
      <c r="C302" t="s">
        <v>94</v>
      </c>
      <c r="D302" t="s">
        <v>100</v>
      </c>
      <c r="E302" t="s">
        <v>101</v>
      </c>
      <c r="F302">
        <v>150000</v>
      </c>
      <c r="G302" t="s">
        <v>102</v>
      </c>
      <c r="H302">
        <v>600000</v>
      </c>
      <c r="I302">
        <v>0.27</v>
      </c>
      <c r="J302">
        <v>0.41</v>
      </c>
      <c r="K302">
        <v>0.59</v>
      </c>
      <c r="L302">
        <v>0.76</v>
      </c>
      <c r="M302" t="s">
        <v>98</v>
      </c>
      <c r="N302" t="s">
        <v>329</v>
      </c>
      <c r="O302">
        <v>0.17</v>
      </c>
      <c r="P302">
        <v>0.31</v>
      </c>
      <c r="Q302">
        <v>0.03</v>
      </c>
      <c r="R302">
        <v>0.06</v>
      </c>
      <c r="S302">
        <v>0.05</v>
      </c>
      <c r="T302">
        <v>7.0000000000000007E-2</v>
      </c>
      <c r="U302" t="s">
        <v>332</v>
      </c>
      <c r="V302" t="s">
        <v>333</v>
      </c>
    </row>
    <row r="303" spans="1:22" x14ac:dyDescent="0.25">
      <c r="A303" t="s">
        <v>328</v>
      </c>
      <c r="B303" t="s">
        <v>103</v>
      </c>
      <c r="C303" t="s">
        <v>94</v>
      </c>
      <c r="D303" t="s">
        <v>104</v>
      </c>
      <c r="E303" t="s">
        <v>105</v>
      </c>
      <c r="F303">
        <v>600000</v>
      </c>
      <c r="G303" t="s">
        <v>102</v>
      </c>
      <c r="I303">
        <v>0.31</v>
      </c>
      <c r="J303">
        <v>0.43</v>
      </c>
      <c r="K303">
        <v>0.76</v>
      </c>
      <c r="L303">
        <v>0.87</v>
      </c>
      <c r="M303" t="s">
        <v>98</v>
      </c>
      <c r="N303" t="s">
        <v>329</v>
      </c>
      <c r="O303">
        <v>0.22</v>
      </c>
      <c r="P303">
        <v>0.36</v>
      </c>
      <c r="Q303">
        <v>0.02</v>
      </c>
      <c r="R303">
        <v>0.03</v>
      </c>
      <c r="S303">
        <v>0.02</v>
      </c>
      <c r="T303">
        <v>0.04</v>
      </c>
      <c r="U303" t="s">
        <v>332</v>
      </c>
      <c r="V303" t="s">
        <v>333</v>
      </c>
    </row>
    <row r="304" spans="1:22" x14ac:dyDescent="0.25">
      <c r="A304" t="s">
        <v>328</v>
      </c>
      <c r="B304" t="s">
        <v>106</v>
      </c>
      <c r="C304" t="s">
        <v>94</v>
      </c>
      <c r="D304" t="s">
        <v>95</v>
      </c>
      <c r="E304" t="s">
        <v>334</v>
      </c>
      <c r="F304">
        <v>135000</v>
      </c>
      <c r="G304" t="s">
        <v>97</v>
      </c>
      <c r="H304">
        <v>220000</v>
      </c>
      <c r="K304">
        <v>0.28999999999999998</v>
      </c>
      <c r="L304">
        <v>0.56000000000000005</v>
      </c>
      <c r="M304" t="s">
        <v>98</v>
      </c>
      <c r="N304" t="s">
        <v>329</v>
      </c>
      <c r="Q304">
        <v>0.05</v>
      </c>
      <c r="R304">
        <v>0.1</v>
      </c>
      <c r="S304">
        <v>0.03</v>
      </c>
      <c r="T304">
        <v>0.05</v>
      </c>
      <c r="U304" t="s">
        <v>335</v>
      </c>
      <c r="V304" t="s">
        <v>336</v>
      </c>
    </row>
    <row r="305" spans="1:22" x14ac:dyDescent="0.25">
      <c r="A305" t="s">
        <v>328</v>
      </c>
      <c r="B305" t="s">
        <v>106</v>
      </c>
      <c r="C305" t="s">
        <v>94</v>
      </c>
      <c r="D305" t="s">
        <v>100</v>
      </c>
      <c r="E305" t="s">
        <v>337</v>
      </c>
      <c r="F305">
        <v>220000</v>
      </c>
      <c r="G305" t="s">
        <v>102</v>
      </c>
      <c r="H305">
        <v>400000</v>
      </c>
      <c r="K305">
        <v>0.4</v>
      </c>
      <c r="L305">
        <v>0.65</v>
      </c>
      <c r="M305" t="s">
        <v>98</v>
      </c>
      <c r="N305" t="s">
        <v>329</v>
      </c>
      <c r="Q305">
        <v>0.05</v>
      </c>
      <c r="R305">
        <v>0.08</v>
      </c>
      <c r="S305">
        <v>0.02</v>
      </c>
      <c r="T305">
        <v>0.04</v>
      </c>
      <c r="U305" t="s">
        <v>335</v>
      </c>
      <c r="V305" t="s">
        <v>336</v>
      </c>
    </row>
    <row r="306" spans="1:22" x14ac:dyDescent="0.25">
      <c r="A306" t="s">
        <v>328</v>
      </c>
      <c r="B306" t="s">
        <v>106</v>
      </c>
      <c r="C306" t="s">
        <v>94</v>
      </c>
      <c r="D306" t="s">
        <v>104</v>
      </c>
      <c r="E306" t="s">
        <v>114</v>
      </c>
      <c r="F306">
        <v>400000</v>
      </c>
      <c r="G306" t="s">
        <v>102</v>
      </c>
      <c r="K306">
        <v>0.61</v>
      </c>
      <c r="L306">
        <v>0.79</v>
      </c>
      <c r="M306" t="s">
        <v>98</v>
      </c>
      <c r="N306" t="s">
        <v>329</v>
      </c>
      <c r="Q306">
        <v>0.04</v>
      </c>
      <c r="R306">
        <v>0.06</v>
      </c>
      <c r="S306">
        <v>0.01</v>
      </c>
      <c r="T306">
        <v>0.02</v>
      </c>
      <c r="U306" t="s">
        <v>335</v>
      </c>
      <c r="V306" t="s">
        <v>336</v>
      </c>
    </row>
    <row r="307" spans="1:22" x14ac:dyDescent="0.25">
      <c r="A307" t="s">
        <v>328</v>
      </c>
      <c r="B307" t="s">
        <v>107</v>
      </c>
      <c r="C307" t="s">
        <v>116</v>
      </c>
      <c r="D307" t="s">
        <v>95</v>
      </c>
      <c r="E307" t="s">
        <v>117</v>
      </c>
      <c r="F307">
        <v>50000</v>
      </c>
      <c r="G307" t="s">
        <v>97</v>
      </c>
      <c r="H307">
        <v>250000</v>
      </c>
      <c r="I307">
        <v>0.28000000000000003</v>
      </c>
      <c r="J307">
        <v>0.42</v>
      </c>
      <c r="K307">
        <v>0.57999999999999996</v>
      </c>
      <c r="L307">
        <v>0.74</v>
      </c>
      <c r="M307" t="s">
        <v>98</v>
      </c>
      <c r="N307" t="s">
        <v>329</v>
      </c>
      <c r="O307">
        <v>0.19</v>
      </c>
      <c r="P307">
        <v>0.28999999999999998</v>
      </c>
      <c r="Q307">
        <v>7.0000000000000007E-2</v>
      </c>
      <c r="R307">
        <v>0.12</v>
      </c>
      <c r="S307">
        <v>0.05</v>
      </c>
      <c r="T307">
        <v>0.08</v>
      </c>
      <c r="U307" t="s">
        <v>338</v>
      </c>
      <c r="V307" t="s">
        <v>339</v>
      </c>
    </row>
    <row r="308" spans="1:22" x14ac:dyDescent="0.25">
      <c r="A308" t="s">
        <v>328</v>
      </c>
      <c r="B308" t="s">
        <v>107</v>
      </c>
      <c r="C308" t="s">
        <v>116</v>
      </c>
      <c r="D308" t="s">
        <v>100</v>
      </c>
      <c r="E308" t="s">
        <v>119</v>
      </c>
      <c r="F308">
        <v>250000</v>
      </c>
      <c r="G308" t="s">
        <v>102</v>
      </c>
      <c r="H308">
        <v>750000</v>
      </c>
      <c r="I308">
        <v>0.33</v>
      </c>
      <c r="J308">
        <v>0.43</v>
      </c>
      <c r="K308">
        <v>0.65</v>
      </c>
      <c r="L308">
        <v>0.8</v>
      </c>
      <c r="M308" t="s">
        <v>98</v>
      </c>
      <c r="N308" t="s">
        <v>329</v>
      </c>
      <c r="O308">
        <v>0.16</v>
      </c>
      <c r="P308">
        <v>0.25</v>
      </c>
      <c r="Q308">
        <v>0.05</v>
      </c>
      <c r="R308">
        <v>0.08</v>
      </c>
      <c r="S308">
        <v>0.03</v>
      </c>
      <c r="T308">
        <v>0.05</v>
      </c>
      <c r="U308" t="s">
        <v>338</v>
      </c>
      <c r="V308" t="s">
        <v>339</v>
      </c>
    </row>
    <row r="309" spans="1:22" x14ac:dyDescent="0.25">
      <c r="A309" t="s">
        <v>328</v>
      </c>
      <c r="B309" t="s">
        <v>107</v>
      </c>
      <c r="C309" t="s">
        <v>116</v>
      </c>
      <c r="D309" t="s">
        <v>104</v>
      </c>
      <c r="E309" t="s">
        <v>121</v>
      </c>
      <c r="F309">
        <v>750000</v>
      </c>
      <c r="G309" t="s">
        <v>102</v>
      </c>
      <c r="I309">
        <v>0.37</v>
      </c>
      <c r="J309">
        <v>0.46</v>
      </c>
      <c r="K309">
        <v>0.79</v>
      </c>
      <c r="L309">
        <v>0.87</v>
      </c>
      <c r="M309" t="s">
        <v>98</v>
      </c>
      <c r="N309" t="s">
        <v>329</v>
      </c>
      <c r="O309">
        <v>0.2</v>
      </c>
      <c r="P309">
        <v>0.28000000000000003</v>
      </c>
      <c r="Q309">
        <v>0.03</v>
      </c>
      <c r="R309">
        <v>0.05</v>
      </c>
      <c r="S309">
        <v>0.02</v>
      </c>
      <c r="T309">
        <v>0.03</v>
      </c>
      <c r="U309" t="s">
        <v>338</v>
      </c>
      <c r="V309" t="s">
        <v>339</v>
      </c>
    </row>
    <row r="310" spans="1:22" x14ac:dyDescent="0.25">
      <c r="A310" t="s">
        <v>328</v>
      </c>
      <c r="B310" t="s">
        <v>108</v>
      </c>
      <c r="C310" t="s">
        <v>116</v>
      </c>
      <c r="D310" t="s">
        <v>95</v>
      </c>
      <c r="E310" t="s">
        <v>123</v>
      </c>
      <c r="F310">
        <v>65000</v>
      </c>
      <c r="G310" t="s">
        <v>97</v>
      </c>
      <c r="H310">
        <v>400000</v>
      </c>
      <c r="I310">
        <v>0.31</v>
      </c>
      <c r="J310">
        <v>0.38</v>
      </c>
      <c r="K310">
        <v>0.69</v>
      </c>
      <c r="L310">
        <v>0.81</v>
      </c>
      <c r="M310" t="s">
        <v>98</v>
      </c>
      <c r="N310" t="s">
        <v>329</v>
      </c>
      <c r="O310">
        <v>0.14000000000000001</v>
      </c>
      <c r="P310">
        <v>0.25</v>
      </c>
      <c r="Q310">
        <v>0.1</v>
      </c>
      <c r="R310">
        <v>0.17</v>
      </c>
      <c r="S310">
        <v>0.02</v>
      </c>
      <c r="T310">
        <v>0.04</v>
      </c>
      <c r="U310" t="s">
        <v>338</v>
      </c>
      <c r="V310" t="s">
        <v>340</v>
      </c>
    </row>
    <row r="311" spans="1:22" x14ac:dyDescent="0.25">
      <c r="A311" t="s">
        <v>328</v>
      </c>
      <c r="B311" t="s">
        <v>108</v>
      </c>
      <c r="C311" t="s">
        <v>116</v>
      </c>
      <c r="D311" t="s">
        <v>100</v>
      </c>
      <c r="E311" t="s">
        <v>125</v>
      </c>
      <c r="F311">
        <v>400000</v>
      </c>
      <c r="G311" t="s">
        <v>102</v>
      </c>
      <c r="H311">
        <v>750000</v>
      </c>
      <c r="I311">
        <v>0.34</v>
      </c>
      <c r="J311">
        <v>0.39</v>
      </c>
      <c r="K311">
        <v>0.75</v>
      </c>
      <c r="L311">
        <v>0.86</v>
      </c>
      <c r="M311" t="s">
        <v>98</v>
      </c>
      <c r="N311" t="s">
        <v>329</v>
      </c>
      <c r="O311">
        <v>0.15</v>
      </c>
      <c r="P311">
        <v>0.28000000000000003</v>
      </c>
      <c r="Q311">
        <v>0.08</v>
      </c>
      <c r="R311">
        <v>0.12</v>
      </c>
      <c r="S311">
        <v>0.01</v>
      </c>
      <c r="T311">
        <v>0.02</v>
      </c>
      <c r="U311" t="s">
        <v>338</v>
      </c>
      <c r="V311" t="s">
        <v>340</v>
      </c>
    </row>
    <row r="312" spans="1:22" x14ac:dyDescent="0.25">
      <c r="A312" t="s">
        <v>328</v>
      </c>
      <c r="B312" t="s">
        <v>108</v>
      </c>
      <c r="C312" t="s">
        <v>116</v>
      </c>
      <c r="D312" t="s">
        <v>104</v>
      </c>
      <c r="E312" t="s">
        <v>121</v>
      </c>
      <c r="F312">
        <v>750000</v>
      </c>
      <c r="G312" t="s">
        <v>102</v>
      </c>
      <c r="I312">
        <v>0.28999999999999998</v>
      </c>
      <c r="J312">
        <v>0.36</v>
      </c>
      <c r="K312">
        <v>0.82</v>
      </c>
      <c r="L312">
        <v>0.9</v>
      </c>
      <c r="M312" t="s">
        <v>98</v>
      </c>
      <c r="N312" t="s">
        <v>329</v>
      </c>
      <c r="O312">
        <v>0.25</v>
      </c>
      <c r="P312">
        <v>0.34</v>
      </c>
      <c r="Q312">
        <v>0.05</v>
      </c>
      <c r="R312">
        <v>0.08</v>
      </c>
      <c r="S312">
        <v>0.01</v>
      </c>
      <c r="T312">
        <v>0.01</v>
      </c>
      <c r="U312" t="s">
        <v>338</v>
      </c>
      <c r="V312" t="s">
        <v>340</v>
      </c>
    </row>
    <row r="313" spans="1:22" x14ac:dyDescent="0.25">
      <c r="A313" t="s">
        <v>328</v>
      </c>
      <c r="B313" t="s">
        <v>109</v>
      </c>
      <c r="C313" t="s">
        <v>94</v>
      </c>
      <c r="D313" t="s">
        <v>95</v>
      </c>
      <c r="E313" t="s">
        <v>128</v>
      </c>
      <c r="F313">
        <v>65000</v>
      </c>
      <c r="G313" t="s">
        <v>97</v>
      </c>
      <c r="H313">
        <v>150000</v>
      </c>
      <c r="K313">
        <v>0.43</v>
      </c>
      <c r="L313">
        <v>0.61</v>
      </c>
      <c r="M313" t="s">
        <v>98</v>
      </c>
      <c r="N313" t="s">
        <v>329</v>
      </c>
      <c r="O313">
        <v>0.24</v>
      </c>
      <c r="P313">
        <v>0.4</v>
      </c>
      <c r="Q313">
        <v>0.17</v>
      </c>
      <c r="R313">
        <v>0.24</v>
      </c>
      <c r="S313">
        <v>0.03</v>
      </c>
      <c r="T313">
        <v>0.05</v>
      </c>
      <c r="U313" t="s">
        <v>338</v>
      </c>
      <c r="V313" t="s">
        <v>341</v>
      </c>
    </row>
    <row r="314" spans="1:22" x14ac:dyDescent="0.25">
      <c r="A314" t="s">
        <v>328</v>
      </c>
      <c r="B314" t="s">
        <v>109</v>
      </c>
      <c r="C314" t="s">
        <v>94</v>
      </c>
      <c r="D314" t="s">
        <v>100</v>
      </c>
      <c r="E314" t="s">
        <v>130</v>
      </c>
      <c r="F314">
        <v>150000</v>
      </c>
      <c r="G314" t="s">
        <v>102</v>
      </c>
      <c r="K314">
        <v>0.65</v>
      </c>
      <c r="L314">
        <v>0.81</v>
      </c>
      <c r="M314" t="s">
        <v>98</v>
      </c>
      <c r="N314" t="s">
        <v>329</v>
      </c>
      <c r="O314">
        <v>0.32</v>
      </c>
      <c r="P314">
        <v>0.46</v>
      </c>
      <c r="Q314">
        <v>0.11</v>
      </c>
      <c r="R314">
        <v>0.17</v>
      </c>
      <c r="S314">
        <v>0.01</v>
      </c>
      <c r="T314">
        <v>0.03</v>
      </c>
      <c r="U314" t="s">
        <v>338</v>
      </c>
      <c r="V314" t="s">
        <v>341</v>
      </c>
    </row>
    <row r="315" spans="1:22" x14ac:dyDescent="0.25">
      <c r="A315" t="s">
        <v>328</v>
      </c>
      <c r="B315" t="s">
        <v>111</v>
      </c>
      <c r="C315" t="s">
        <v>94</v>
      </c>
      <c r="D315" t="s">
        <v>95</v>
      </c>
      <c r="E315" t="s">
        <v>132</v>
      </c>
      <c r="F315">
        <v>65000</v>
      </c>
      <c r="G315" t="s">
        <v>97</v>
      </c>
      <c r="H315">
        <v>200000</v>
      </c>
      <c r="K315">
        <v>0.48</v>
      </c>
      <c r="L315">
        <v>0.69</v>
      </c>
      <c r="M315" t="s">
        <v>98</v>
      </c>
      <c r="N315" t="s">
        <v>329</v>
      </c>
      <c r="O315">
        <v>0.23</v>
      </c>
      <c r="P315">
        <v>0.35</v>
      </c>
      <c r="Q315">
        <v>0.13</v>
      </c>
      <c r="R315">
        <v>0.21</v>
      </c>
      <c r="S315">
        <v>0.03</v>
      </c>
      <c r="T315">
        <v>0.05</v>
      </c>
      <c r="U315" t="s">
        <v>338</v>
      </c>
      <c r="V315" t="s">
        <v>342</v>
      </c>
    </row>
    <row r="316" spans="1:22" x14ac:dyDescent="0.25">
      <c r="A316" t="s">
        <v>328</v>
      </c>
      <c r="B316" t="s">
        <v>111</v>
      </c>
      <c r="C316" t="s">
        <v>94</v>
      </c>
      <c r="D316" t="s">
        <v>100</v>
      </c>
      <c r="E316" t="s">
        <v>134</v>
      </c>
      <c r="F316">
        <v>200000</v>
      </c>
      <c r="G316" t="s">
        <v>102</v>
      </c>
      <c r="H316">
        <v>400000</v>
      </c>
      <c r="K316">
        <v>0.69</v>
      </c>
      <c r="L316">
        <v>0.83</v>
      </c>
      <c r="M316" t="s">
        <v>98</v>
      </c>
      <c r="N316" t="s">
        <v>329</v>
      </c>
      <c r="O316">
        <v>0.25</v>
      </c>
      <c r="P316">
        <v>0.37</v>
      </c>
      <c r="Q316">
        <v>0.12</v>
      </c>
      <c r="R316">
        <v>0.19</v>
      </c>
      <c r="S316">
        <v>0.02</v>
      </c>
      <c r="T316">
        <v>0.02</v>
      </c>
      <c r="U316" t="s">
        <v>338</v>
      </c>
      <c r="V316" t="s">
        <v>342</v>
      </c>
    </row>
    <row r="317" spans="1:22" x14ac:dyDescent="0.25">
      <c r="A317" t="s">
        <v>328</v>
      </c>
      <c r="B317" t="s">
        <v>111</v>
      </c>
      <c r="C317" t="s">
        <v>94</v>
      </c>
      <c r="D317" t="s">
        <v>104</v>
      </c>
      <c r="E317" t="s">
        <v>114</v>
      </c>
      <c r="F317">
        <v>400000</v>
      </c>
      <c r="G317" t="s">
        <v>102</v>
      </c>
      <c r="K317">
        <v>0.77</v>
      </c>
      <c r="L317">
        <v>0.88</v>
      </c>
      <c r="M317" t="s">
        <v>98</v>
      </c>
      <c r="N317" t="s">
        <v>329</v>
      </c>
      <c r="O317">
        <v>0.27</v>
      </c>
      <c r="P317">
        <v>0.39</v>
      </c>
      <c r="Q317">
        <v>0.09</v>
      </c>
      <c r="R317">
        <v>0.16</v>
      </c>
      <c r="S317">
        <v>0.01</v>
      </c>
      <c r="T317">
        <v>0.02</v>
      </c>
      <c r="U317" t="s">
        <v>338</v>
      </c>
      <c r="V317" t="s">
        <v>342</v>
      </c>
    </row>
    <row r="318" spans="1:22" x14ac:dyDescent="0.25">
      <c r="A318" t="s">
        <v>328</v>
      </c>
      <c r="B318" t="s">
        <v>113</v>
      </c>
      <c r="C318" t="s">
        <v>94</v>
      </c>
      <c r="D318" t="s">
        <v>95</v>
      </c>
      <c r="E318" t="s">
        <v>137</v>
      </c>
      <c r="F318">
        <v>75000</v>
      </c>
      <c r="G318" t="s">
        <v>97</v>
      </c>
      <c r="H318">
        <v>155000</v>
      </c>
      <c r="K318">
        <v>0.38</v>
      </c>
      <c r="L318">
        <v>0.56999999999999995</v>
      </c>
      <c r="M318" t="s">
        <v>98</v>
      </c>
      <c r="N318" t="s">
        <v>329</v>
      </c>
      <c r="S318">
        <v>7.0000000000000007E-2</v>
      </c>
      <c r="T318">
        <v>0.1</v>
      </c>
      <c r="U318" t="s">
        <v>343</v>
      </c>
      <c r="V318" t="s">
        <v>344</v>
      </c>
    </row>
    <row r="319" spans="1:22" x14ac:dyDescent="0.25">
      <c r="A319" t="s">
        <v>328</v>
      </c>
      <c r="B319" t="s">
        <v>113</v>
      </c>
      <c r="C319" t="s">
        <v>94</v>
      </c>
      <c r="D319" t="s">
        <v>100</v>
      </c>
      <c r="E319" t="s">
        <v>139</v>
      </c>
      <c r="F319">
        <v>155000</v>
      </c>
      <c r="G319" t="s">
        <v>102</v>
      </c>
      <c r="H319">
        <v>500000</v>
      </c>
      <c r="K319">
        <v>0.57999999999999996</v>
      </c>
      <c r="L319">
        <v>0.71</v>
      </c>
      <c r="M319" t="s">
        <v>98</v>
      </c>
      <c r="N319" t="s">
        <v>329</v>
      </c>
      <c r="S319">
        <v>0.06</v>
      </c>
      <c r="T319">
        <v>0.09</v>
      </c>
      <c r="U319" t="s">
        <v>343</v>
      </c>
      <c r="V319" t="s">
        <v>344</v>
      </c>
    </row>
    <row r="320" spans="1:22" x14ac:dyDescent="0.25">
      <c r="A320" t="s">
        <v>328</v>
      </c>
      <c r="B320" t="s">
        <v>113</v>
      </c>
      <c r="C320" t="s">
        <v>94</v>
      </c>
      <c r="D320" t="s">
        <v>104</v>
      </c>
      <c r="E320" t="s">
        <v>141</v>
      </c>
      <c r="F320">
        <v>500000</v>
      </c>
      <c r="G320" t="s">
        <v>102</v>
      </c>
      <c r="K320">
        <v>0.78</v>
      </c>
      <c r="L320">
        <v>0.88</v>
      </c>
      <c r="M320" t="s">
        <v>98</v>
      </c>
      <c r="N320" t="s">
        <v>329</v>
      </c>
      <c r="S320">
        <v>0.02</v>
      </c>
      <c r="T320">
        <v>0.04</v>
      </c>
      <c r="U320" t="s">
        <v>343</v>
      </c>
      <c r="V320" t="s">
        <v>344</v>
      </c>
    </row>
    <row r="321" spans="1:22" x14ac:dyDescent="0.25">
      <c r="A321" t="s">
        <v>328</v>
      </c>
      <c r="B321" t="s">
        <v>115</v>
      </c>
      <c r="C321" t="s">
        <v>116</v>
      </c>
      <c r="D321" t="s">
        <v>95</v>
      </c>
      <c r="E321" t="s">
        <v>143</v>
      </c>
      <c r="F321">
        <v>65000</v>
      </c>
      <c r="G321" t="s">
        <v>97</v>
      </c>
      <c r="H321">
        <v>250000</v>
      </c>
      <c r="I321">
        <v>0.28999999999999998</v>
      </c>
      <c r="J321">
        <v>0.51</v>
      </c>
      <c r="K321">
        <v>0.64</v>
      </c>
      <c r="L321">
        <v>0.82</v>
      </c>
      <c r="M321" t="s">
        <v>98</v>
      </c>
      <c r="N321" t="s">
        <v>329</v>
      </c>
      <c r="Q321">
        <v>0.14000000000000001</v>
      </c>
      <c r="R321">
        <v>0.19</v>
      </c>
      <c r="S321">
        <v>0.02</v>
      </c>
      <c r="T321">
        <v>0.05</v>
      </c>
      <c r="U321" t="s">
        <v>335</v>
      </c>
      <c r="V321" t="s">
        <v>345</v>
      </c>
    </row>
    <row r="322" spans="1:22" x14ac:dyDescent="0.25">
      <c r="A322" t="s">
        <v>328</v>
      </c>
      <c r="B322" t="s">
        <v>115</v>
      </c>
      <c r="C322" t="s">
        <v>116</v>
      </c>
      <c r="D322" t="s">
        <v>100</v>
      </c>
      <c r="E322" t="s">
        <v>119</v>
      </c>
      <c r="F322">
        <v>250000</v>
      </c>
      <c r="G322" t="s">
        <v>102</v>
      </c>
      <c r="H322">
        <v>750000</v>
      </c>
      <c r="I322">
        <v>0.45</v>
      </c>
      <c r="J322">
        <v>0.56999999999999995</v>
      </c>
      <c r="K322">
        <v>0.75</v>
      </c>
      <c r="L322">
        <v>0.9</v>
      </c>
      <c r="M322" t="s">
        <v>98</v>
      </c>
      <c r="N322" t="s">
        <v>329</v>
      </c>
      <c r="Q322">
        <v>0.09</v>
      </c>
      <c r="R322">
        <v>0.14000000000000001</v>
      </c>
      <c r="S322">
        <v>0.01</v>
      </c>
      <c r="T322">
        <v>0.02</v>
      </c>
      <c r="U322" t="s">
        <v>335</v>
      </c>
      <c r="V322" t="s">
        <v>345</v>
      </c>
    </row>
    <row r="323" spans="1:22" x14ac:dyDescent="0.25">
      <c r="A323" t="s">
        <v>328</v>
      </c>
      <c r="B323" t="s">
        <v>115</v>
      </c>
      <c r="C323" t="s">
        <v>116</v>
      </c>
      <c r="D323" t="s">
        <v>104</v>
      </c>
      <c r="E323" t="s">
        <v>121</v>
      </c>
      <c r="F323">
        <v>750000</v>
      </c>
      <c r="G323" t="s">
        <v>102</v>
      </c>
      <c r="I323">
        <v>0.53</v>
      </c>
      <c r="J323">
        <v>0.56000000000000005</v>
      </c>
      <c r="K323">
        <v>0.88</v>
      </c>
      <c r="L323">
        <v>0.93</v>
      </c>
      <c r="M323" t="s">
        <v>98</v>
      </c>
      <c r="N323" t="s">
        <v>329</v>
      </c>
      <c r="Q323">
        <v>0.06</v>
      </c>
      <c r="R323">
        <v>0.11</v>
      </c>
      <c r="S323">
        <v>0</v>
      </c>
      <c r="T323">
        <v>0.01</v>
      </c>
      <c r="U323" t="s">
        <v>335</v>
      </c>
      <c r="V323" t="s">
        <v>345</v>
      </c>
    </row>
    <row r="324" spans="1:22" x14ac:dyDescent="0.25">
      <c r="A324" t="s">
        <v>328</v>
      </c>
      <c r="B324" t="s">
        <v>118</v>
      </c>
      <c r="C324" t="s">
        <v>116</v>
      </c>
      <c r="D324" t="s">
        <v>95</v>
      </c>
      <c r="E324" t="s">
        <v>147</v>
      </c>
      <c r="F324">
        <v>65000</v>
      </c>
      <c r="G324" t="s">
        <v>97</v>
      </c>
      <c r="H324">
        <v>500000</v>
      </c>
      <c r="I324">
        <v>0.63</v>
      </c>
      <c r="J324">
        <v>0.74</v>
      </c>
      <c r="K324">
        <v>0.78</v>
      </c>
      <c r="L324">
        <v>0.89</v>
      </c>
      <c r="M324" t="s">
        <v>98</v>
      </c>
      <c r="N324" t="s">
        <v>329</v>
      </c>
      <c r="O324">
        <v>0.12</v>
      </c>
      <c r="P324">
        <v>0.18</v>
      </c>
      <c r="Q324">
        <v>0.06</v>
      </c>
      <c r="R324">
        <v>0.11</v>
      </c>
      <c r="S324">
        <v>0.02</v>
      </c>
      <c r="T324">
        <v>0.03</v>
      </c>
      <c r="U324" t="s">
        <v>338</v>
      </c>
      <c r="V324" t="s">
        <v>346</v>
      </c>
    </row>
    <row r="325" spans="1:22" x14ac:dyDescent="0.25">
      <c r="A325" t="s">
        <v>328</v>
      </c>
      <c r="B325" t="s">
        <v>118</v>
      </c>
      <c r="C325" t="s">
        <v>116</v>
      </c>
      <c r="D325" t="s">
        <v>100</v>
      </c>
      <c r="E325" t="s">
        <v>149</v>
      </c>
      <c r="F325">
        <v>500000</v>
      </c>
      <c r="G325" t="s">
        <v>102</v>
      </c>
      <c r="H325">
        <v>2000000</v>
      </c>
      <c r="I325">
        <v>0.69</v>
      </c>
      <c r="J325">
        <v>0.77</v>
      </c>
      <c r="K325">
        <v>0.9</v>
      </c>
      <c r="L325">
        <v>0.95</v>
      </c>
      <c r="M325" t="s">
        <v>98</v>
      </c>
      <c r="N325" t="s">
        <v>329</v>
      </c>
      <c r="O325">
        <v>0.08</v>
      </c>
      <c r="P325">
        <v>0.13</v>
      </c>
      <c r="Q325">
        <v>0.04</v>
      </c>
      <c r="R325">
        <v>7.0000000000000007E-2</v>
      </c>
      <c r="S325">
        <v>0.01</v>
      </c>
      <c r="T325">
        <v>0.01</v>
      </c>
      <c r="U325" t="s">
        <v>338</v>
      </c>
      <c r="V325" t="s">
        <v>346</v>
      </c>
    </row>
    <row r="326" spans="1:22" x14ac:dyDescent="0.25">
      <c r="A326" t="s">
        <v>328</v>
      </c>
      <c r="B326" t="s">
        <v>118</v>
      </c>
      <c r="C326" t="s">
        <v>116</v>
      </c>
      <c r="D326" t="s">
        <v>104</v>
      </c>
      <c r="E326" t="s">
        <v>151</v>
      </c>
      <c r="F326">
        <v>2000000</v>
      </c>
      <c r="G326" t="s">
        <v>102</v>
      </c>
      <c r="I326">
        <v>0.74</v>
      </c>
      <c r="J326">
        <v>0.79</v>
      </c>
      <c r="K326">
        <v>0.92</v>
      </c>
      <c r="L326">
        <v>0.95</v>
      </c>
      <c r="M326" t="s">
        <v>98</v>
      </c>
      <c r="N326" t="s">
        <v>329</v>
      </c>
      <c r="O326">
        <v>7.0000000000000007E-2</v>
      </c>
      <c r="P326">
        <v>0.1</v>
      </c>
      <c r="Q326">
        <v>0.03</v>
      </c>
      <c r="R326">
        <v>0.04</v>
      </c>
      <c r="S326">
        <v>0</v>
      </c>
      <c r="T326">
        <v>0.01</v>
      </c>
      <c r="U326" t="s">
        <v>338</v>
      </c>
      <c r="V326" t="s">
        <v>346</v>
      </c>
    </row>
    <row r="327" spans="1:22" x14ac:dyDescent="0.25">
      <c r="A327" t="s">
        <v>328</v>
      </c>
      <c r="B327" t="s">
        <v>120</v>
      </c>
      <c r="C327" t="s">
        <v>94</v>
      </c>
      <c r="D327" t="s">
        <v>95</v>
      </c>
      <c r="E327" t="s">
        <v>96</v>
      </c>
      <c r="F327">
        <v>50000</v>
      </c>
      <c r="G327" t="s">
        <v>97</v>
      </c>
      <c r="H327">
        <v>150000</v>
      </c>
      <c r="K327">
        <v>0.28999999999999998</v>
      </c>
      <c r="L327">
        <v>0.46</v>
      </c>
      <c r="M327" t="s">
        <v>98</v>
      </c>
      <c r="N327" t="s">
        <v>329</v>
      </c>
      <c r="O327">
        <v>0.23</v>
      </c>
      <c r="P327">
        <v>0.38</v>
      </c>
      <c r="S327">
        <v>7.0000000000000007E-2</v>
      </c>
      <c r="T327">
        <v>0.11</v>
      </c>
      <c r="U327" t="s">
        <v>347</v>
      </c>
      <c r="V327" t="s">
        <v>348</v>
      </c>
    </row>
    <row r="328" spans="1:22" x14ac:dyDescent="0.25">
      <c r="A328" t="s">
        <v>328</v>
      </c>
      <c r="B328" t="s">
        <v>120</v>
      </c>
      <c r="C328" t="s">
        <v>94</v>
      </c>
      <c r="D328" t="s">
        <v>100</v>
      </c>
      <c r="E328" t="s">
        <v>154</v>
      </c>
      <c r="F328">
        <v>150000</v>
      </c>
      <c r="G328" t="s">
        <v>102</v>
      </c>
      <c r="H328">
        <v>350000</v>
      </c>
      <c r="K328">
        <v>0.51</v>
      </c>
      <c r="L328">
        <v>0.68</v>
      </c>
      <c r="M328" t="s">
        <v>98</v>
      </c>
      <c r="N328" t="s">
        <v>329</v>
      </c>
      <c r="O328">
        <v>0.28999999999999998</v>
      </c>
      <c r="P328">
        <v>0.43</v>
      </c>
      <c r="S328">
        <v>0.05</v>
      </c>
      <c r="T328">
        <v>7.0000000000000007E-2</v>
      </c>
      <c r="U328" t="s">
        <v>347</v>
      </c>
      <c r="V328" t="s">
        <v>348</v>
      </c>
    </row>
    <row r="329" spans="1:22" x14ac:dyDescent="0.25">
      <c r="A329" t="s">
        <v>328</v>
      </c>
      <c r="B329" t="s">
        <v>120</v>
      </c>
      <c r="C329" t="s">
        <v>94</v>
      </c>
      <c r="D329" t="s">
        <v>104</v>
      </c>
      <c r="E329" t="s">
        <v>156</v>
      </c>
      <c r="F329">
        <v>350000</v>
      </c>
      <c r="G329" t="s">
        <v>102</v>
      </c>
      <c r="K329">
        <v>0.7</v>
      </c>
      <c r="L329">
        <v>0.84</v>
      </c>
      <c r="M329" t="s">
        <v>98</v>
      </c>
      <c r="N329" t="s">
        <v>329</v>
      </c>
      <c r="O329">
        <v>0.35</v>
      </c>
      <c r="P329">
        <v>0.49</v>
      </c>
      <c r="S329">
        <v>0.03</v>
      </c>
      <c r="T329">
        <v>0.04</v>
      </c>
      <c r="U329" t="s">
        <v>347</v>
      </c>
      <c r="V329" t="s">
        <v>348</v>
      </c>
    </row>
    <row r="330" spans="1:22" x14ac:dyDescent="0.25">
      <c r="A330" t="s">
        <v>328</v>
      </c>
      <c r="B330" t="s">
        <v>122</v>
      </c>
      <c r="C330" t="s">
        <v>94</v>
      </c>
      <c r="D330" t="s">
        <v>95</v>
      </c>
      <c r="E330" t="s">
        <v>158</v>
      </c>
      <c r="F330">
        <v>100000</v>
      </c>
      <c r="G330" t="s">
        <v>97</v>
      </c>
      <c r="H330">
        <v>300000</v>
      </c>
      <c r="I330">
        <v>0.21</v>
      </c>
      <c r="J330">
        <v>0.4</v>
      </c>
      <c r="K330">
        <v>0.53</v>
      </c>
      <c r="L330">
        <v>0.71</v>
      </c>
      <c r="M330" t="s">
        <v>98</v>
      </c>
      <c r="N330" t="s">
        <v>329</v>
      </c>
      <c r="O330">
        <v>0.18</v>
      </c>
      <c r="P330">
        <v>0.3</v>
      </c>
      <c r="Q330">
        <v>7.0000000000000007E-2</v>
      </c>
      <c r="R330">
        <v>0.11</v>
      </c>
      <c r="S330">
        <v>0.05</v>
      </c>
      <c r="T330">
        <v>0.08</v>
      </c>
      <c r="U330" t="s">
        <v>332</v>
      </c>
      <c r="V330" t="s">
        <v>349</v>
      </c>
    </row>
    <row r="331" spans="1:22" x14ac:dyDescent="0.25">
      <c r="A331" t="s">
        <v>328</v>
      </c>
      <c r="B331" t="s">
        <v>122</v>
      </c>
      <c r="C331" t="s">
        <v>94</v>
      </c>
      <c r="D331" t="s">
        <v>100</v>
      </c>
      <c r="E331" t="s">
        <v>160</v>
      </c>
      <c r="F331">
        <v>300000</v>
      </c>
      <c r="G331" t="s">
        <v>102</v>
      </c>
      <c r="H331">
        <v>900000</v>
      </c>
      <c r="I331">
        <v>0.34</v>
      </c>
      <c r="J331">
        <v>0.45</v>
      </c>
      <c r="K331">
        <v>0.72</v>
      </c>
      <c r="L331">
        <v>0.84</v>
      </c>
      <c r="M331" t="s">
        <v>98</v>
      </c>
      <c r="N331" t="s">
        <v>329</v>
      </c>
      <c r="O331">
        <v>0.16</v>
      </c>
      <c r="P331">
        <v>0.28000000000000003</v>
      </c>
      <c r="Q331">
        <v>0.05</v>
      </c>
      <c r="R331">
        <v>7.0000000000000007E-2</v>
      </c>
      <c r="S331">
        <v>0.03</v>
      </c>
      <c r="T331">
        <v>0.04</v>
      </c>
      <c r="U331" t="s">
        <v>332</v>
      </c>
      <c r="V331" t="s">
        <v>349</v>
      </c>
    </row>
    <row r="332" spans="1:22" x14ac:dyDescent="0.25">
      <c r="A332" t="s">
        <v>328</v>
      </c>
      <c r="B332" t="s">
        <v>122</v>
      </c>
      <c r="C332" t="s">
        <v>94</v>
      </c>
      <c r="D332" t="s">
        <v>104</v>
      </c>
      <c r="E332" t="s">
        <v>162</v>
      </c>
      <c r="F332">
        <v>900000</v>
      </c>
      <c r="G332" t="s">
        <v>102</v>
      </c>
      <c r="I332">
        <v>0.38</v>
      </c>
      <c r="J332">
        <v>0.48</v>
      </c>
      <c r="K332">
        <v>0.82</v>
      </c>
      <c r="L332">
        <v>0.9</v>
      </c>
      <c r="M332" t="s">
        <v>98</v>
      </c>
      <c r="N332" t="s">
        <v>329</v>
      </c>
      <c r="O332">
        <v>0.22</v>
      </c>
      <c r="P332">
        <v>0.32</v>
      </c>
      <c r="Q332">
        <v>0.03</v>
      </c>
      <c r="R332">
        <v>0.05</v>
      </c>
      <c r="S332">
        <v>0.01</v>
      </c>
      <c r="T332">
        <v>0.02</v>
      </c>
      <c r="U332" t="s">
        <v>332</v>
      </c>
      <c r="V332" t="s">
        <v>349</v>
      </c>
    </row>
    <row r="333" spans="1:22" x14ac:dyDescent="0.25">
      <c r="A333" t="s">
        <v>328</v>
      </c>
      <c r="B333" t="s">
        <v>124</v>
      </c>
      <c r="C333" t="s">
        <v>116</v>
      </c>
      <c r="D333" t="s">
        <v>95</v>
      </c>
      <c r="E333" t="s">
        <v>164</v>
      </c>
      <c r="F333">
        <v>65000</v>
      </c>
      <c r="G333" t="s">
        <v>97</v>
      </c>
      <c r="H333">
        <v>300000</v>
      </c>
      <c r="I333">
        <v>0.28000000000000003</v>
      </c>
      <c r="J333">
        <v>0.37</v>
      </c>
      <c r="K333">
        <v>0.62</v>
      </c>
      <c r="L333">
        <v>0.79</v>
      </c>
      <c r="M333" t="s">
        <v>98</v>
      </c>
      <c r="N333" t="s">
        <v>329</v>
      </c>
      <c r="O333">
        <v>0.18</v>
      </c>
      <c r="P333">
        <v>0.27</v>
      </c>
      <c r="Q333">
        <v>0.11</v>
      </c>
      <c r="R333">
        <v>0.17</v>
      </c>
      <c r="S333">
        <v>0.03</v>
      </c>
      <c r="T333">
        <v>0.05</v>
      </c>
      <c r="U333" t="s">
        <v>338</v>
      </c>
      <c r="V333" t="s">
        <v>350</v>
      </c>
    </row>
    <row r="334" spans="1:22" x14ac:dyDescent="0.25">
      <c r="A334" t="s">
        <v>328</v>
      </c>
      <c r="B334" t="s">
        <v>124</v>
      </c>
      <c r="C334" t="s">
        <v>116</v>
      </c>
      <c r="D334" t="s">
        <v>100</v>
      </c>
      <c r="E334" t="s">
        <v>166</v>
      </c>
      <c r="F334">
        <v>300000</v>
      </c>
      <c r="G334" t="s">
        <v>102</v>
      </c>
      <c r="H334">
        <v>600000</v>
      </c>
      <c r="I334">
        <v>0.3</v>
      </c>
      <c r="J334">
        <v>0.35</v>
      </c>
      <c r="K334">
        <v>0.78</v>
      </c>
      <c r="L334">
        <v>0.87</v>
      </c>
      <c r="M334" t="s">
        <v>98</v>
      </c>
      <c r="N334" t="s">
        <v>329</v>
      </c>
      <c r="O334">
        <v>0.18</v>
      </c>
      <c r="P334">
        <v>0.26</v>
      </c>
      <c r="Q334">
        <v>0.09</v>
      </c>
      <c r="R334">
        <v>0.15</v>
      </c>
      <c r="S334">
        <v>0.01</v>
      </c>
      <c r="T334">
        <v>0.03</v>
      </c>
      <c r="U334" t="s">
        <v>338</v>
      </c>
      <c r="V334" t="s">
        <v>350</v>
      </c>
    </row>
    <row r="335" spans="1:22" x14ac:dyDescent="0.25">
      <c r="A335" t="s">
        <v>328</v>
      </c>
      <c r="B335" t="s">
        <v>124</v>
      </c>
      <c r="C335" t="s">
        <v>116</v>
      </c>
      <c r="D335" t="s">
        <v>104</v>
      </c>
      <c r="E335" t="s">
        <v>105</v>
      </c>
      <c r="F335">
        <v>600000</v>
      </c>
      <c r="G335" t="s">
        <v>102</v>
      </c>
      <c r="I335">
        <v>0.31</v>
      </c>
      <c r="J335">
        <v>0.37</v>
      </c>
      <c r="K335">
        <v>0.83</v>
      </c>
      <c r="L335">
        <v>0.91</v>
      </c>
      <c r="M335" t="s">
        <v>98</v>
      </c>
      <c r="N335" t="s">
        <v>329</v>
      </c>
      <c r="O335">
        <v>0.21</v>
      </c>
      <c r="P335">
        <v>0.28000000000000003</v>
      </c>
      <c r="Q335">
        <v>7.0000000000000007E-2</v>
      </c>
      <c r="R335">
        <v>0.11</v>
      </c>
      <c r="S335">
        <v>0.01</v>
      </c>
      <c r="T335">
        <v>0.01</v>
      </c>
      <c r="U335" t="s">
        <v>338</v>
      </c>
      <c r="V335" t="s">
        <v>350</v>
      </c>
    </row>
    <row r="336" spans="1:22" x14ac:dyDescent="0.25">
      <c r="A336" t="s">
        <v>328</v>
      </c>
      <c r="B336" t="s">
        <v>126</v>
      </c>
      <c r="C336" t="s">
        <v>94</v>
      </c>
      <c r="D336" t="s">
        <v>95</v>
      </c>
      <c r="E336" t="s">
        <v>169</v>
      </c>
      <c r="F336">
        <v>50000</v>
      </c>
      <c r="G336" t="s">
        <v>97</v>
      </c>
      <c r="H336">
        <v>110000</v>
      </c>
      <c r="K336">
        <v>0.32</v>
      </c>
      <c r="L336">
        <v>0.5</v>
      </c>
      <c r="M336" t="s">
        <v>98</v>
      </c>
      <c r="N336" t="s">
        <v>329</v>
      </c>
      <c r="O336">
        <v>0.24</v>
      </c>
      <c r="P336">
        <v>0.39</v>
      </c>
      <c r="S336">
        <v>0.08</v>
      </c>
      <c r="T336">
        <v>0.12</v>
      </c>
      <c r="U336" t="s">
        <v>347</v>
      </c>
      <c r="V336" t="s">
        <v>351</v>
      </c>
    </row>
    <row r="337" spans="1:22" x14ac:dyDescent="0.25">
      <c r="A337" t="s">
        <v>328</v>
      </c>
      <c r="B337" t="s">
        <v>126</v>
      </c>
      <c r="C337" t="s">
        <v>94</v>
      </c>
      <c r="D337" t="s">
        <v>100</v>
      </c>
      <c r="E337" t="s">
        <v>171</v>
      </c>
      <c r="F337">
        <v>110000</v>
      </c>
      <c r="G337" t="s">
        <v>102</v>
      </c>
      <c r="H337">
        <v>400000</v>
      </c>
      <c r="K337">
        <v>0.46</v>
      </c>
      <c r="L337">
        <v>0.66</v>
      </c>
      <c r="M337" t="s">
        <v>98</v>
      </c>
      <c r="N337" t="s">
        <v>329</v>
      </c>
      <c r="O337">
        <v>0.21</v>
      </c>
      <c r="P337">
        <v>0.35</v>
      </c>
      <c r="S337">
        <v>0.05</v>
      </c>
      <c r="T337">
        <v>0.08</v>
      </c>
      <c r="U337" t="s">
        <v>347</v>
      </c>
      <c r="V337" t="s">
        <v>351</v>
      </c>
    </row>
    <row r="338" spans="1:22" x14ac:dyDescent="0.25">
      <c r="A338" t="s">
        <v>328</v>
      </c>
      <c r="B338" t="s">
        <v>126</v>
      </c>
      <c r="C338" t="s">
        <v>94</v>
      </c>
      <c r="D338" t="s">
        <v>104</v>
      </c>
      <c r="E338" t="s">
        <v>114</v>
      </c>
      <c r="F338">
        <v>400000</v>
      </c>
      <c r="G338" t="s">
        <v>102</v>
      </c>
      <c r="K338">
        <v>0.76</v>
      </c>
      <c r="L338">
        <v>0.87</v>
      </c>
      <c r="M338" t="s">
        <v>98</v>
      </c>
      <c r="N338" t="s">
        <v>329</v>
      </c>
      <c r="O338">
        <v>0.27</v>
      </c>
      <c r="P338">
        <v>0.43</v>
      </c>
      <c r="S338">
        <v>0.02</v>
      </c>
      <c r="T338">
        <v>0.04</v>
      </c>
      <c r="U338" t="s">
        <v>347</v>
      </c>
      <c r="V338" t="s">
        <v>351</v>
      </c>
    </row>
    <row r="339" spans="1:22" x14ac:dyDescent="0.25">
      <c r="A339" t="s">
        <v>328</v>
      </c>
      <c r="B339" t="s">
        <v>127</v>
      </c>
      <c r="C339" t="s">
        <v>94</v>
      </c>
      <c r="D339" t="s">
        <v>95</v>
      </c>
      <c r="E339" t="s">
        <v>174</v>
      </c>
      <c r="F339">
        <v>50000</v>
      </c>
      <c r="G339" t="s">
        <v>97</v>
      </c>
      <c r="H339">
        <v>100000</v>
      </c>
      <c r="K339">
        <v>0.32</v>
      </c>
      <c r="L339">
        <v>0.45</v>
      </c>
      <c r="M339" t="s">
        <v>98</v>
      </c>
      <c r="N339" t="s">
        <v>329</v>
      </c>
      <c r="O339">
        <v>0.26</v>
      </c>
      <c r="P339">
        <v>0.38</v>
      </c>
      <c r="S339">
        <v>0.08</v>
      </c>
      <c r="T339">
        <v>0.11</v>
      </c>
      <c r="U339" t="s">
        <v>347</v>
      </c>
      <c r="V339" t="s">
        <v>352</v>
      </c>
    </row>
    <row r="340" spans="1:22" x14ac:dyDescent="0.25">
      <c r="A340" t="s">
        <v>328</v>
      </c>
      <c r="B340" t="s">
        <v>127</v>
      </c>
      <c r="C340" t="s">
        <v>94</v>
      </c>
      <c r="D340" t="s">
        <v>100</v>
      </c>
      <c r="E340" t="s">
        <v>176</v>
      </c>
      <c r="F340">
        <v>100000</v>
      </c>
      <c r="G340" t="s">
        <v>102</v>
      </c>
      <c r="H340">
        <v>250000</v>
      </c>
      <c r="K340">
        <v>0.37</v>
      </c>
      <c r="L340">
        <v>0.55000000000000004</v>
      </c>
      <c r="M340" t="s">
        <v>98</v>
      </c>
      <c r="N340" t="s">
        <v>329</v>
      </c>
      <c r="O340">
        <v>0.21</v>
      </c>
      <c r="P340">
        <v>0.34</v>
      </c>
      <c r="S340">
        <v>0.06</v>
      </c>
      <c r="T340">
        <v>0.09</v>
      </c>
      <c r="U340" t="s">
        <v>347</v>
      </c>
      <c r="V340" t="s">
        <v>352</v>
      </c>
    </row>
    <row r="341" spans="1:22" x14ac:dyDescent="0.25">
      <c r="A341" t="s">
        <v>328</v>
      </c>
      <c r="B341" t="s">
        <v>127</v>
      </c>
      <c r="C341" t="s">
        <v>94</v>
      </c>
      <c r="D341" t="s">
        <v>104</v>
      </c>
      <c r="E341" t="s">
        <v>178</v>
      </c>
      <c r="F341">
        <v>250000</v>
      </c>
      <c r="G341" t="s">
        <v>102</v>
      </c>
      <c r="K341">
        <v>0.6</v>
      </c>
      <c r="L341">
        <v>0.79</v>
      </c>
      <c r="M341" t="s">
        <v>98</v>
      </c>
      <c r="N341" t="s">
        <v>329</v>
      </c>
      <c r="O341">
        <v>0.26</v>
      </c>
      <c r="P341">
        <v>0.42</v>
      </c>
      <c r="S341">
        <v>0.03</v>
      </c>
      <c r="T341">
        <v>0.05</v>
      </c>
      <c r="U341" t="s">
        <v>347</v>
      </c>
      <c r="V341" t="s">
        <v>352</v>
      </c>
    </row>
    <row r="342" spans="1:22" x14ac:dyDescent="0.25">
      <c r="A342" t="s">
        <v>328</v>
      </c>
      <c r="B342" t="s">
        <v>129</v>
      </c>
      <c r="C342" t="s">
        <v>116</v>
      </c>
      <c r="D342" t="s">
        <v>95</v>
      </c>
      <c r="E342" t="s">
        <v>180</v>
      </c>
      <c r="F342">
        <v>50000</v>
      </c>
      <c r="G342" t="s">
        <v>97</v>
      </c>
      <c r="H342">
        <v>200000</v>
      </c>
      <c r="I342">
        <v>0.31</v>
      </c>
      <c r="J342">
        <v>0.43</v>
      </c>
      <c r="K342">
        <v>0.6</v>
      </c>
      <c r="L342">
        <v>0.76</v>
      </c>
      <c r="M342" t="s">
        <v>98</v>
      </c>
      <c r="N342" t="s">
        <v>329</v>
      </c>
      <c r="O342">
        <v>0.19</v>
      </c>
      <c r="P342">
        <v>0.28000000000000003</v>
      </c>
      <c r="Q342">
        <v>0.06</v>
      </c>
      <c r="R342">
        <v>0.12</v>
      </c>
      <c r="S342">
        <v>0.04</v>
      </c>
      <c r="T342">
        <v>7.0000000000000007E-2</v>
      </c>
      <c r="U342" t="s">
        <v>338</v>
      </c>
      <c r="V342" t="s">
        <v>353</v>
      </c>
    </row>
    <row r="343" spans="1:22" x14ac:dyDescent="0.25">
      <c r="A343" t="s">
        <v>328</v>
      </c>
      <c r="B343" t="s">
        <v>129</v>
      </c>
      <c r="C343" t="s">
        <v>116</v>
      </c>
      <c r="D343" t="s">
        <v>100</v>
      </c>
      <c r="E343" t="s">
        <v>182</v>
      </c>
      <c r="F343">
        <v>200000</v>
      </c>
      <c r="G343" t="s">
        <v>102</v>
      </c>
      <c r="H343">
        <v>600000</v>
      </c>
      <c r="I343">
        <v>0.32</v>
      </c>
      <c r="J343">
        <v>0.41</v>
      </c>
      <c r="K343">
        <v>0.68</v>
      </c>
      <c r="L343">
        <v>0.83</v>
      </c>
      <c r="M343" t="s">
        <v>98</v>
      </c>
      <c r="N343" t="s">
        <v>329</v>
      </c>
      <c r="O343">
        <v>0.16</v>
      </c>
      <c r="P343">
        <v>0.27</v>
      </c>
      <c r="Q343">
        <v>0.06</v>
      </c>
      <c r="R343">
        <v>0.11</v>
      </c>
      <c r="S343">
        <v>0.02</v>
      </c>
      <c r="T343">
        <v>0.05</v>
      </c>
      <c r="U343" t="s">
        <v>338</v>
      </c>
      <c r="V343" t="s">
        <v>353</v>
      </c>
    </row>
    <row r="344" spans="1:22" x14ac:dyDescent="0.25">
      <c r="A344" t="s">
        <v>328</v>
      </c>
      <c r="B344" t="s">
        <v>129</v>
      </c>
      <c r="C344" t="s">
        <v>116</v>
      </c>
      <c r="D344" t="s">
        <v>104</v>
      </c>
      <c r="E344" t="s">
        <v>105</v>
      </c>
      <c r="F344">
        <v>600000</v>
      </c>
      <c r="G344" t="s">
        <v>102</v>
      </c>
      <c r="I344">
        <v>0.31</v>
      </c>
      <c r="J344">
        <v>0.41</v>
      </c>
      <c r="K344">
        <v>0.81</v>
      </c>
      <c r="L344">
        <v>0.91</v>
      </c>
      <c r="M344" t="s">
        <v>98</v>
      </c>
      <c r="N344" t="s">
        <v>329</v>
      </c>
      <c r="O344">
        <v>0.23</v>
      </c>
      <c r="P344">
        <v>0.33</v>
      </c>
      <c r="Q344">
        <v>0.04</v>
      </c>
      <c r="R344">
        <v>0.08</v>
      </c>
      <c r="S344">
        <v>0.01</v>
      </c>
      <c r="T344">
        <v>0.02</v>
      </c>
      <c r="U344" t="s">
        <v>338</v>
      </c>
      <c r="V344" t="s">
        <v>353</v>
      </c>
    </row>
    <row r="345" spans="1:22" x14ac:dyDescent="0.25">
      <c r="A345" t="s">
        <v>328</v>
      </c>
      <c r="B345" t="s">
        <v>131</v>
      </c>
      <c r="C345" t="s">
        <v>94</v>
      </c>
      <c r="D345" t="s">
        <v>95</v>
      </c>
      <c r="E345" t="s">
        <v>96</v>
      </c>
      <c r="F345">
        <v>50000</v>
      </c>
      <c r="G345" t="s">
        <v>97</v>
      </c>
      <c r="H345">
        <v>150000</v>
      </c>
      <c r="K345">
        <v>0.37</v>
      </c>
      <c r="L345">
        <v>0.52</v>
      </c>
      <c r="M345" t="s">
        <v>98</v>
      </c>
      <c r="N345" t="s">
        <v>329</v>
      </c>
      <c r="O345">
        <v>0.2</v>
      </c>
      <c r="P345">
        <v>0.32</v>
      </c>
      <c r="S345">
        <v>7.0000000000000007E-2</v>
      </c>
      <c r="T345">
        <v>0.11</v>
      </c>
      <c r="U345" t="s">
        <v>347</v>
      </c>
      <c r="V345" t="s">
        <v>354</v>
      </c>
    </row>
    <row r="346" spans="1:22" x14ac:dyDescent="0.25">
      <c r="A346" t="s">
        <v>328</v>
      </c>
      <c r="B346" t="s">
        <v>131</v>
      </c>
      <c r="C346" t="s">
        <v>94</v>
      </c>
      <c r="D346" t="s">
        <v>100</v>
      </c>
      <c r="E346" t="s">
        <v>186</v>
      </c>
      <c r="F346">
        <v>150000</v>
      </c>
      <c r="G346" t="s">
        <v>102</v>
      </c>
      <c r="H346">
        <v>400000</v>
      </c>
      <c r="K346">
        <v>0.61</v>
      </c>
      <c r="L346">
        <v>0.77</v>
      </c>
      <c r="M346" t="s">
        <v>98</v>
      </c>
      <c r="N346" t="s">
        <v>329</v>
      </c>
      <c r="O346">
        <v>0.25</v>
      </c>
      <c r="P346">
        <v>0.38</v>
      </c>
      <c r="S346">
        <v>0.05</v>
      </c>
      <c r="T346">
        <v>7.0000000000000007E-2</v>
      </c>
      <c r="U346" t="s">
        <v>347</v>
      </c>
      <c r="V346" t="s">
        <v>354</v>
      </c>
    </row>
    <row r="347" spans="1:22" x14ac:dyDescent="0.25">
      <c r="A347" t="s">
        <v>328</v>
      </c>
      <c r="B347" t="s">
        <v>131</v>
      </c>
      <c r="C347" t="s">
        <v>94</v>
      </c>
      <c r="D347" t="s">
        <v>104</v>
      </c>
      <c r="E347" t="s">
        <v>114</v>
      </c>
      <c r="F347">
        <v>400000</v>
      </c>
      <c r="G347" t="s">
        <v>102</v>
      </c>
      <c r="K347">
        <v>0.75</v>
      </c>
      <c r="L347">
        <v>0.89</v>
      </c>
      <c r="M347" t="s">
        <v>98</v>
      </c>
      <c r="N347" t="s">
        <v>329</v>
      </c>
      <c r="O347">
        <v>0.32</v>
      </c>
      <c r="P347">
        <v>0.44</v>
      </c>
      <c r="S347">
        <v>0.02</v>
      </c>
      <c r="T347">
        <v>0.04</v>
      </c>
      <c r="U347" t="s">
        <v>347</v>
      </c>
      <c r="V347" t="s">
        <v>354</v>
      </c>
    </row>
    <row r="348" spans="1:22" x14ac:dyDescent="0.25">
      <c r="A348" t="s">
        <v>328</v>
      </c>
      <c r="B348" t="s">
        <v>133</v>
      </c>
      <c r="C348" t="s">
        <v>116</v>
      </c>
      <c r="D348" t="s">
        <v>95</v>
      </c>
      <c r="E348" t="s">
        <v>189</v>
      </c>
      <c r="F348">
        <v>60000</v>
      </c>
      <c r="G348" t="s">
        <v>97</v>
      </c>
      <c r="H348">
        <v>250000</v>
      </c>
      <c r="I348">
        <v>0.38</v>
      </c>
      <c r="J348">
        <v>0.46</v>
      </c>
      <c r="K348">
        <v>0.76</v>
      </c>
      <c r="L348">
        <v>0.87</v>
      </c>
      <c r="M348" t="s">
        <v>98</v>
      </c>
      <c r="N348" t="s">
        <v>329</v>
      </c>
      <c r="Q348">
        <v>0.13</v>
      </c>
      <c r="R348">
        <v>0.2</v>
      </c>
      <c r="S348">
        <v>0.02</v>
      </c>
      <c r="T348">
        <v>0.03</v>
      </c>
      <c r="U348" t="s">
        <v>335</v>
      </c>
      <c r="V348" t="s">
        <v>355</v>
      </c>
    </row>
    <row r="349" spans="1:22" x14ac:dyDescent="0.25">
      <c r="A349" t="s">
        <v>328</v>
      </c>
      <c r="B349" t="s">
        <v>133</v>
      </c>
      <c r="C349" t="s">
        <v>116</v>
      </c>
      <c r="D349" t="s">
        <v>100</v>
      </c>
      <c r="E349" t="s">
        <v>191</v>
      </c>
      <c r="F349">
        <v>250000</v>
      </c>
      <c r="G349" t="s">
        <v>102</v>
      </c>
      <c r="H349">
        <v>575000</v>
      </c>
      <c r="I349">
        <v>0.41</v>
      </c>
      <c r="J349">
        <v>0.49</v>
      </c>
      <c r="K349">
        <v>0.81</v>
      </c>
      <c r="L349">
        <v>0.89</v>
      </c>
      <c r="M349" t="s">
        <v>98</v>
      </c>
      <c r="N349" t="s">
        <v>329</v>
      </c>
      <c r="Q349">
        <v>0.1</v>
      </c>
      <c r="R349">
        <v>0.16</v>
      </c>
      <c r="S349">
        <v>0.01</v>
      </c>
      <c r="T349">
        <v>0.02</v>
      </c>
      <c r="U349" t="s">
        <v>335</v>
      </c>
      <c r="V349" t="s">
        <v>355</v>
      </c>
    </row>
    <row r="350" spans="1:22" x14ac:dyDescent="0.25">
      <c r="A350" t="s">
        <v>328</v>
      </c>
      <c r="B350" t="s">
        <v>133</v>
      </c>
      <c r="C350" t="s">
        <v>116</v>
      </c>
      <c r="D350" t="s">
        <v>104</v>
      </c>
      <c r="E350" t="s">
        <v>193</v>
      </c>
      <c r="F350">
        <v>575000</v>
      </c>
      <c r="G350" t="s">
        <v>102</v>
      </c>
      <c r="I350">
        <v>0.4</v>
      </c>
      <c r="J350">
        <v>0.48</v>
      </c>
      <c r="K350">
        <v>0.85</v>
      </c>
      <c r="L350">
        <v>0.93</v>
      </c>
      <c r="M350" t="s">
        <v>98</v>
      </c>
      <c r="N350" t="s">
        <v>329</v>
      </c>
      <c r="Q350">
        <v>7.0000000000000007E-2</v>
      </c>
      <c r="R350">
        <v>0.11</v>
      </c>
      <c r="S350">
        <v>0.01</v>
      </c>
      <c r="T350">
        <v>0.01</v>
      </c>
      <c r="U350" t="s">
        <v>335</v>
      </c>
      <c r="V350" t="s">
        <v>355</v>
      </c>
    </row>
    <row r="351" spans="1:22" x14ac:dyDescent="0.25">
      <c r="A351" t="s">
        <v>328</v>
      </c>
      <c r="B351" t="s">
        <v>135</v>
      </c>
      <c r="C351" t="s">
        <v>94</v>
      </c>
      <c r="D351" t="s">
        <v>95</v>
      </c>
      <c r="E351" t="s">
        <v>132</v>
      </c>
      <c r="F351">
        <v>65000</v>
      </c>
      <c r="G351" t="s">
        <v>97</v>
      </c>
      <c r="H351">
        <v>200000</v>
      </c>
      <c r="K351">
        <v>0.42</v>
      </c>
      <c r="L351">
        <v>0.59</v>
      </c>
      <c r="M351" t="s">
        <v>98</v>
      </c>
      <c r="N351" t="s">
        <v>329</v>
      </c>
      <c r="Q351">
        <v>0.1</v>
      </c>
      <c r="R351">
        <v>0.16</v>
      </c>
      <c r="S351">
        <v>0.04</v>
      </c>
      <c r="T351">
        <v>0.06</v>
      </c>
      <c r="U351" t="s">
        <v>335</v>
      </c>
      <c r="V351" t="s">
        <v>356</v>
      </c>
    </row>
    <row r="352" spans="1:22" x14ac:dyDescent="0.25">
      <c r="A352" t="s">
        <v>328</v>
      </c>
      <c r="B352" t="s">
        <v>135</v>
      </c>
      <c r="C352" t="s">
        <v>94</v>
      </c>
      <c r="D352" t="s">
        <v>100</v>
      </c>
      <c r="E352" t="s">
        <v>182</v>
      </c>
      <c r="F352">
        <v>200000</v>
      </c>
      <c r="G352" t="s">
        <v>102</v>
      </c>
      <c r="H352">
        <v>600000</v>
      </c>
      <c r="K352">
        <v>0.6</v>
      </c>
      <c r="L352">
        <v>0.77</v>
      </c>
      <c r="M352" t="s">
        <v>98</v>
      </c>
      <c r="N352" t="s">
        <v>329</v>
      </c>
      <c r="Q352">
        <v>7.0000000000000007E-2</v>
      </c>
      <c r="R352">
        <v>0.12</v>
      </c>
      <c r="S352">
        <v>0.02</v>
      </c>
      <c r="T352">
        <v>0.04</v>
      </c>
      <c r="U352" t="s">
        <v>335</v>
      </c>
      <c r="V352" t="s">
        <v>356</v>
      </c>
    </row>
    <row r="353" spans="1:22" x14ac:dyDescent="0.25">
      <c r="A353" t="s">
        <v>328</v>
      </c>
      <c r="B353" t="s">
        <v>135</v>
      </c>
      <c r="C353" t="s">
        <v>94</v>
      </c>
      <c r="D353" t="s">
        <v>104</v>
      </c>
      <c r="E353" t="s">
        <v>105</v>
      </c>
      <c r="F353">
        <v>600000</v>
      </c>
      <c r="G353" t="s">
        <v>102</v>
      </c>
      <c r="K353">
        <v>0.79</v>
      </c>
      <c r="L353">
        <v>0.88</v>
      </c>
      <c r="M353" t="s">
        <v>98</v>
      </c>
      <c r="N353" t="s">
        <v>329</v>
      </c>
      <c r="Q353">
        <v>0.08</v>
      </c>
      <c r="R353">
        <v>0.12</v>
      </c>
      <c r="S353">
        <v>0</v>
      </c>
      <c r="T353">
        <v>0.01</v>
      </c>
      <c r="U353" t="s">
        <v>335</v>
      </c>
      <c r="V353" t="s">
        <v>356</v>
      </c>
    </row>
    <row r="354" spans="1:22" x14ac:dyDescent="0.25">
      <c r="A354" t="s">
        <v>328</v>
      </c>
      <c r="B354" t="s">
        <v>136</v>
      </c>
      <c r="C354" t="s">
        <v>94</v>
      </c>
      <c r="D354" t="s">
        <v>95</v>
      </c>
      <c r="E354" t="s">
        <v>132</v>
      </c>
      <c r="F354">
        <v>65000</v>
      </c>
      <c r="G354" t="s">
        <v>97</v>
      </c>
      <c r="H354">
        <v>200000</v>
      </c>
      <c r="K354">
        <v>0.34</v>
      </c>
      <c r="L354">
        <v>0.52</v>
      </c>
      <c r="M354" t="s">
        <v>98</v>
      </c>
      <c r="N354" t="s">
        <v>329</v>
      </c>
      <c r="O354">
        <v>0.23</v>
      </c>
      <c r="P354">
        <v>0.4</v>
      </c>
      <c r="Q354">
        <v>0.13</v>
      </c>
      <c r="R354">
        <v>0.21</v>
      </c>
      <c r="S354">
        <v>0.03</v>
      </c>
      <c r="T354">
        <v>0.05</v>
      </c>
      <c r="U354" t="s">
        <v>338</v>
      </c>
      <c r="V354" t="s">
        <v>357</v>
      </c>
    </row>
    <row r="355" spans="1:22" x14ac:dyDescent="0.25">
      <c r="A355" t="s">
        <v>328</v>
      </c>
      <c r="B355" t="s">
        <v>136</v>
      </c>
      <c r="C355" t="s">
        <v>94</v>
      </c>
      <c r="D355" t="s">
        <v>100</v>
      </c>
      <c r="E355" t="s">
        <v>182</v>
      </c>
      <c r="F355">
        <v>200000</v>
      </c>
      <c r="G355" t="s">
        <v>102</v>
      </c>
      <c r="H355">
        <v>600000</v>
      </c>
      <c r="K355">
        <v>0.54</v>
      </c>
      <c r="L355">
        <v>0.71</v>
      </c>
      <c r="M355" t="s">
        <v>98</v>
      </c>
      <c r="N355" t="s">
        <v>329</v>
      </c>
      <c r="O355">
        <v>0.21</v>
      </c>
      <c r="P355">
        <v>0.38</v>
      </c>
      <c r="Q355">
        <v>0.09</v>
      </c>
      <c r="R355">
        <v>0.14000000000000001</v>
      </c>
      <c r="S355">
        <v>0.02</v>
      </c>
      <c r="T355">
        <v>0.03</v>
      </c>
      <c r="U355" t="s">
        <v>338</v>
      </c>
      <c r="V355" t="s">
        <v>357</v>
      </c>
    </row>
    <row r="356" spans="1:22" x14ac:dyDescent="0.25">
      <c r="A356" t="s">
        <v>328</v>
      </c>
      <c r="B356" t="s">
        <v>136</v>
      </c>
      <c r="C356" t="s">
        <v>94</v>
      </c>
      <c r="D356" t="s">
        <v>104</v>
      </c>
      <c r="E356" t="s">
        <v>105</v>
      </c>
      <c r="F356">
        <v>600000</v>
      </c>
      <c r="G356" t="s">
        <v>102</v>
      </c>
      <c r="K356">
        <v>0.67</v>
      </c>
      <c r="L356">
        <v>0.82</v>
      </c>
      <c r="M356" t="s">
        <v>98</v>
      </c>
      <c r="N356" t="s">
        <v>329</v>
      </c>
      <c r="O356">
        <v>0.26</v>
      </c>
      <c r="P356">
        <v>0.45</v>
      </c>
      <c r="Q356">
        <v>0.06</v>
      </c>
      <c r="R356">
        <v>0.09</v>
      </c>
      <c r="S356">
        <v>0.01</v>
      </c>
      <c r="T356">
        <v>0.02</v>
      </c>
      <c r="U356" t="s">
        <v>338</v>
      </c>
      <c r="V356" t="s">
        <v>357</v>
      </c>
    </row>
    <row r="357" spans="1:22" x14ac:dyDescent="0.25">
      <c r="A357" t="s">
        <v>328</v>
      </c>
      <c r="B357" t="s">
        <v>138</v>
      </c>
      <c r="C357" t="s">
        <v>94</v>
      </c>
      <c r="D357" t="s">
        <v>95</v>
      </c>
      <c r="E357" t="s">
        <v>201</v>
      </c>
      <c r="F357">
        <v>50000</v>
      </c>
      <c r="G357" t="s">
        <v>97</v>
      </c>
      <c r="H357">
        <v>115000</v>
      </c>
      <c r="K357">
        <v>0.3</v>
      </c>
      <c r="L357">
        <v>0.53</v>
      </c>
      <c r="M357" t="s">
        <v>98</v>
      </c>
      <c r="N357" t="s">
        <v>329</v>
      </c>
      <c r="O357">
        <v>0.31</v>
      </c>
      <c r="P357">
        <v>0.48</v>
      </c>
      <c r="S357">
        <v>7.0000000000000007E-2</v>
      </c>
      <c r="T357">
        <v>0.11</v>
      </c>
      <c r="U357" t="s">
        <v>347</v>
      </c>
      <c r="V357" t="s">
        <v>358</v>
      </c>
    </row>
    <row r="358" spans="1:22" x14ac:dyDescent="0.25">
      <c r="A358" t="s">
        <v>328</v>
      </c>
      <c r="B358" t="s">
        <v>138</v>
      </c>
      <c r="C358" t="s">
        <v>94</v>
      </c>
      <c r="D358" t="s">
        <v>100</v>
      </c>
      <c r="E358" t="s">
        <v>203</v>
      </c>
      <c r="F358">
        <v>115000</v>
      </c>
      <c r="G358" t="s">
        <v>102</v>
      </c>
      <c r="H358">
        <v>250000</v>
      </c>
      <c r="K358">
        <v>0.46</v>
      </c>
      <c r="L358">
        <v>0.69</v>
      </c>
      <c r="M358" t="s">
        <v>98</v>
      </c>
      <c r="N358" t="s">
        <v>329</v>
      </c>
      <c r="O358">
        <v>0.28999999999999998</v>
      </c>
      <c r="P358">
        <v>0.47</v>
      </c>
      <c r="S358">
        <v>0.05</v>
      </c>
      <c r="T358">
        <v>0.09</v>
      </c>
      <c r="U358" t="s">
        <v>347</v>
      </c>
      <c r="V358" t="s">
        <v>358</v>
      </c>
    </row>
    <row r="359" spans="1:22" x14ac:dyDescent="0.25">
      <c r="A359" t="s">
        <v>328</v>
      </c>
      <c r="B359" t="s">
        <v>138</v>
      </c>
      <c r="C359" t="s">
        <v>94</v>
      </c>
      <c r="D359" t="s">
        <v>104</v>
      </c>
      <c r="E359" t="s">
        <v>178</v>
      </c>
      <c r="F359">
        <v>250000</v>
      </c>
      <c r="G359" t="s">
        <v>102</v>
      </c>
      <c r="K359">
        <v>0.69</v>
      </c>
      <c r="L359">
        <v>0.85</v>
      </c>
      <c r="M359" t="s">
        <v>98</v>
      </c>
      <c r="N359" t="s">
        <v>329</v>
      </c>
      <c r="O359">
        <v>0.35</v>
      </c>
      <c r="P359">
        <v>0.56000000000000005</v>
      </c>
      <c r="S359">
        <v>0.03</v>
      </c>
      <c r="T359">
        <v>0.05</v>
      </c>
      <c r="U359" t="s">
        <v>347</v>
      </c>
      <c r="V359" t="s">
        <v>358</v>
      </c>
    </row>
    <row r="360" spans="1:22" x14ac:dyDescent="0.25">
      <c r="A360" t="s">
        <v>328</v>
      </c>
      <c r="B360" t="s">
        <v>140</v>
      </c>
      <c r="C360" t="s">
        <v>94</v>
      </c>
      <c r="D360" t="s">
        <v>95</v>
      </c>
      <c r="E360" t="s">
        <v>128</v>
      </c>
      <c r="F360">
        <v>65000</v>
      </c>
      <c r="G360" t="s">
        <v>97</v>
      </c>
      <c r="H360">
        <v>150000</v>
      </c>
      <c r="K360">
        <v>0.37</v>
      </c>
      <c r="L360">
        <v>0.57999999999999996</v>
      </c>
      <c r="M360" t="s">
        <v>98</v>
      </c>
      <c r="N360" t="s">
        <v>329</v>
      </c>
      <c r="S360">
        <v>0.09</v>
      </c>
      <c r="T360">
        <v>0.13</v>
      </c>
      <c r="U360" t="s">
        <v>343</v>
      </c>
      <c r="V360" t="s">
        <v>359</v>
      </c>
    </row>
    <row r="361" spans="1:22" x14ac:dyDescent="0.25">
      <c r="A361" t="s">
        <v>328</v>
      </c>
      <c r="B361" t="s">
        <v>140</v>
      </c>
      <c r="C361" t="s">
        <v>94</v>
      </c>
      <c r="D361" t="s">
        <v>100</v>
      </c>
      <c r="E361" t="s">
        <v>207</v>
      </c>
      <c r="F361">
        <v>150000</v>
      </c>
      <c r="G361" t="s">
        <v>102</v>
      </c>
      <c r="H361">
        <v>300000</v>
      </c>
      <c r="K361">
        <v>0.43</v>
      </c>
      <c r="L361">
        <v>0.61</v>
      </c>
      <c r="M361" t="s">
        <v>98</v>
      </c>
      <c r="N361" t="s">
        <v>329</v>
      </c>
      <c r="S361">
        <v>7.0000000000000007E-2</v>
      </c>
      <c r="T361">
        <v>0.1</v>
      </c>
      <c r="U361" t="s">
        <v>343</v>
      </c>
      <c r="V361" t="s">
        <v>359</v>
      </c>
    </row>
    <row r="362" spans="1:22" x14ac:dyDescent="0.25">
      <c r="A362" t="s">
        <v>328</v>
      </c>
      <c r="B362" t="s">
        <v>140</v>
      </c>
      <c r="C362" t="s">
        <v>94</v>
      </c>
      <c r="D362" t="s">
        <v>104</v>
      </c>
      <c r="E362" t="s">
        <v>209</v>
      </c>
      <c r="F362">
        <v>300000</v>
      </c>
      <c r="G362" t="s">
        <v>102</v>
      </c>
      <c r="K362">
        <v>0.6</v>
      </c>
      <c r="L362">
        <v>0.75</v>
      </c>
      <c r="M362" t="s">
        <v>98</v>
      </c>
      <c r="N362" t="s">
        <v>329</v>
      </c>
      <c r="S362">
        <v>0.05</v>
      </c>
      <c r="T362">
        <v>7.0000000000000007E-2</v>
      </c>
      <c r="U362" t="s">
        <v>343</v>
      </c>
      <c r="V362" t="s">
        <v>359</v>
      </c>
    </row>
    <row r="363" spans="1:22" x14ac:dyDescent="0.25">
      <c r="A363" t="s">
        <v>328</v>
      </c>
      <c r="B363" t="s">
        <v>142</v>
      </c>
      <c r="C363" t="s">
        <v>116</v>
      </c>
      <c r="D363" t="s">
        <v>95</v>
      </c>
      <c r="E363" t="s">
        <v>143</v>
      </c>
      <c r="F363">
        <v>65000</v>
      </c>
      <c r="G363" t="s">
        <v>97</v>
      </c>
      <c r="H363">
        <v>250000</v>
      </c>
      <c r="I363">
        <v>0.39</v>
      </c>
      <c r="J363">
        <v>0.55000000000000004</v>
      </c>
      <c r="K363">
        <v>0.72</v>
      </c>
      <c r="L363">
        <v>0.85</v>
      </c>
      <c r="M363" t="s">
        <v>98</v>
      </c>
      <c r="N363" t="s">
        <v>329</v>
      </c>
      <c r="O363">
        <v>0.14000000000000001</v>
      </c>
      <c r="P363">
        <v>0.22</v>
      </c>
      <c r="Q363">
        <v>0.11</v>
      </c>
      <c r="R363">
        <v>0.19</v>
      </c>
      <c r="S363">
        <v>0.02</v>
      </c>
      <c r="T363">
        <v>0.04</v>
      </c>
      <c r="U363" t="s">
        <v>338</v>
      </c>
      <c r="V363" t="s">
        <v>360</v>
      </c>
    </row>
    <row r="364" spans="1:22" x14ac:dyDescent="0.25">
      <c r="A364" t="s">
        <v>328</v>
      </c>
      <c r="B364" t="s">
        <v>142</v>
      </c>
      <c r="C364" t="s">
        <v>116</v>
      </c>
      <c r="D364" t="s">
        <v>100</v>
      </c>
      <c r="E364" t="s">
        <v>212</v>
      </c>
      <c r="F364">
        <v>250000</v>
      </c>
      <c r="G364" t="s">
        <v>102</v>
      </c>
      <c r="H364">
        <v>500000</v>
      </c>
      <c r="I364">
        <v>0.46</v>
      </c>
      <c r="J364">
        <v>0.57999999999999996</v>
      </c>
      <c r="K364">
        <v>0.78</v>
      </c>
      <c r="L364">
        <v>0.88</v>
      </c>
      <c r="M364" t="s">
        <v>98</v>
      </c>
      <c r="N364" t="s">
        <v>329</v>
      </c>
      <c r="O364">
        <v>0.11</v>
      </c>
      <c r="P364">
        <v>0.19</v>
      </c>
      <c r="Q364">
        <v>0.08</v>
      </c>
      <c r="R364">
        <v>0.14000000000000001</v>
      </c>
      <c r="S364">
        <v>0.01</v>
      </c>
      <c r="T364">
        <v>0.02</v>
      </c>
      <c r="U364" t="s">
        <v>338</v>
      </c>
      <c r="V364" t="s">
        <v>360</v>
      </c>
    </row>
    <row r="365" spans="1:22" x14ac:dyDescent="0.25">
      <c r="A365" t="s">
        <v>328</v>
      </c>
      <c r="B365" t="s">
        <v>142</v>
      </c>
      <c r="C365" t="s">
        <v>116</v>
      </c>
      <c r="D365" t="s">
        <v>104</v>
      </c>
      <c r="E365" t="s">
        <v>141</v>
      </c>
      <c r="F365">
        <v>500000</v>
      </c>
      <c r="G365" t="s">
        <v>102</v>
      </c>
      <c r="I365">
        <v>0.48</v>
      </c>
      <c r="J365">
        <v>0.56999999999999995</v>
      </c>
      <c r="K365">
        <v>0.83</v>
      </c>
      <c r="L365">
        <v>0.91</v>
      </c>
      <c r="M365" t="s">
        <v>98</v>
      </c>
      <c r="N365" t="s">
        <v>329</v>
      </c>
      <c r="O365">
        <v>0.12</v>
      </c>
      <c r="P365">
        <v>0.18</v>
      </c>
      <c r="Q365">
        <v>0.05</v>
      </c>
      <c r="R365">
        <v>0.1</v>
      </c>
      <c r="S365">
        <v>0.01</v>
      </c>
      <c r="T365">
        <v>0.01</v>
      </c>
      <c r="U365" t="s">
        <v>338</v>
      </c>
      <c r="V365" t="s">
        <v>360</v>
      </c>
    </row>
    <row r="366" spans="1:22" x14ac:dyDescent="0.25">
      <c r="A366" t="s">
        <v>328</v>
      </c>
      <c r="B366" t="s">
        <v>144</v>
      </c>
      <c r="C366" t="s">
        <v>116</v>
      </c>
      <c r="D366" t="s">
        <v>95</v>
      </c>
      <c r="E366" t="s">
        <v>143</v>
      </c>
      <c r="F366">
        <v>65000</v>
      </c>
      <c r="G366" t="s">
        <v>97</v>
      </c>
      <c r="H366">
        <v>250000</v>
      </c>
      <c r="I366">
        <v>0.34</v>
      </c>
      <c r="J366">
        <v>0.42</v>
      </c>
      <c r="K366">
        <v>0.73</v>
      </c>
      <c r="L366">
        <v>0.86</v>
      </c>
      <c r="M366" t="s">
        <v>98</v>
      </c>
      <c r="N366" t="s">
        <v>329</v>
      </c>
      <c r="O366">
        <v>0.21</v>
      </c>
      <c r="P366">
        <v>0.32</v>
      </c>
      <c r="Q366">
        <v>0.1</v>
      </c>
      <c r="R366">
        <v>0.17</v>
      </c>
      <c r="S366">
        <v>0.02</v>
      </c>
      <c r="T366">
        <v>0.04</v>
      </c>
      <c r="U366" t="s">
        <v>338</v>
      </c>
      <c r="V366" t="s">
        <v>361</v>
      </c>
    </row>
    <row r="367" spans="1:22" x14ac:dyDescent="0.25">
      <c r="A367" t="s">
        <v>328</v>
      </c>
      <c r="B367" t="s">
        <v>144</v>
      </c>
      <c r="C367" t="s">
        <v>116</v>
      </c>
      <c r="D367" t="s">
        <v>100</v>
      </c>
      <c r="E367" t="s">
        <v>216</v>
      </c>
      <c r="F367">
        <v>250000</v>
      </c>
      <c r="G367" t="s">
        <v>102</v>
      </c>
      <c r="H367">
        <v>600000</v>
      </c>
      <c r="I367">
        <v>0.35</v>
      </c>
      <c r="J367">
        <v>0.41</v>
      </c>
      <c r="K367">
        <v>0.81</v>
      </c>
      <c r="L367">
        <v>0.9</v>
      </c>
      <c r="M367" t="s">
        <v>98</v>
      </c>
      <c r="N367" t="s">
        <v>329</v>
      </c>
      <c r="O367">
        <v>0.21</v>
      </c>
      <c r="P367">
        <v>0.32</v>
      </c>
      <c r="Q367">
        <v>0.08</v>
      </c>
      <c r="R367">
        <v>0.14000000000000001</v>
      </c>
      <c r="S367">
        <v>0.01</v>
      </c>
      <c r="T367">
        <v>0.02</v>
      </c>
      <c r="U367" t="s">
        <v>338</v>
      </c>
      <c r="V367" t="s">
        <v>361</v>
      </c>
    </row>
    <row r="368" spans="1:22" x14ac:dyDescent="0.25">
      <c r="A368" t="s">
        <v>328</v>
      </c>
      <c r="B368" t="s">
        <v>144</v>
      </c>
      <c r="C368" t="s">
        <v>116</v>
      </c>
      <c r="D368" t="s">
        <v>104</v>
      </c>
      <c r="E368" t="s">
        <v>105</v>
      </c>
      <c r="F368">
        <v>600000</v>
      </c>
      <c r="G368" t="s">
        <v>102</v>
      </c>
      <c r="I368">
        <v>0.33</v>
      </c>
      <c r="J368">
        <v>0.38</v>
      </c>
      <c r="K368">
        <v>0.86</v>
      </c>
      <c r="L368">
        <v>0.93</v>
      </c>
      <c r="M368" t="s">
        <v>98</v>
      </c>
      <c r="N368" t="s">
        <v>329</v>
      </c>
      <c r="O368">
        <v>0.27</v>
      </c>
      <c r="P368">
        <v>0.35</v>
      </c>
      <c r="Q368">
        <v>0.06</v>
      </c>
      <c r="R368">
        <v>0.1</v>
      </c>
      <c r="S368">
        <v>0.01</v>
      </c>
      <c r="T368">
        <v>0.01</v>
      </c>
      <c r="U368" t="s">
        <v>338</v>
      </c>
      <c r="V368" t="s">
        <v>361</v>
      </c>
    </row>
    <row r="369" spans="1:22" x14ac:dyDescent="0.25">
      <c r="A369" t="s">
        <v>328</v>
      </c>
      <c r="B369" t="s">
        <v>145</v>
      </c>
      <c r="C369" t="s">
        <v>116</v>
      </c>
      <c r="D369" t="s">
        <v>95</v>
      </c>
      <c r="E369" t="s">
        <v>132</v>
      </c>
      <c r="F369">
        <v>65000</v>
      </c>
      <c r="G369" t="s">
        <v>97</v>
      </c>
      <c r="H369">
        <v>200000</v>
      </c>
      <c r="I369">
        <v>0.4</v>
      </c>
      <c r="J369">
        <v>0.56999999999999995</v>
      </c>
      <c r="K369">
        <v>0.64</v>
      </c>
      <c r="L369">
        <v>0.8</v>
      </c>
      <c r="M369" t="s">
        <v>98</v>
      </c>
      <c r="N369" t="s">
        <v>329</v>
      </c>
      <c r="Q369">
        <v>7.0000000000000007E-2</v>
      </c>
      <c r="R369">
        <v>0.14000000000000001</v>
      </c>
      <c r="S369">
        <v>0.04</v>
      </c>
      <c r="T369">
        <v>0.06</v>
      </c>
      <c r="U369" t="s">
        <v>335</v>
      </c>
      <c r="V369" t="s">
        <v>362</v>
      </c>
    </row>
    <row r="370" spans="1:22" x14ac:dyDescent="0.25">
      <c r="A370" t="s">
        <v>328</v>
      </c>
      <c r="B370" t="s">
        <v>145</v>
      </c>
      <c r="C370" t="s">
        <v>116</v>
      </c>
      <c r="D370" t="s">
        <v>100</v>
      </c>
      <c r="E370" t="s">
        <v>182</v>
      </c>
      <c r="F370">
        <v>200000</v>
      </c>
      <c r="G370" t="s">
        <v>102</v>
      </c>
      <c r="H370">
        <v>600000</v>
      </c>
      <c r="I370">
        <v>0.43</v>
      </c>
      <c r="J370">
        <v>0.56000000000000005</v>
      </c>
      <c r="K370">
        <v>0.7</v>
      </c>
      <c r="L370">
        <v>0.85</v>
      </c>
      <c r="M370" t="s">
        <v>98</v>
      </c>
      <c r="N370" t="s">
        <v>329</v>
      </c>
      <c r="Q370">
        <v>0.06</v>
      </c>
      <c r="R370">
        <v>0.09</v>
      </c>
      <c r="S370">
        <v>0.02</v>
      </c>
      <c r="T370">
        <v>0.03</v>
      </c>
      <c r="U370" t="s">
        <v>335</v>
      </c>
      <c r="V370" t="s">
        <v>362</v>
      </c>
    </row>
    <row r="371" spans="1:22" x14ac:dyDescent="0.25">
      <c r="A371" t="s">
        <v>328</v>
      </c>
      <c r="B371" t="s">
        <v>145</v>
      </c>
      <c r="C371" t="s">
        <v>116</v>
      </c>
      <c r="D371" t="s">
        <v>104</v>
      </c>
      <c r="E371" t="s">
        <v>105</v>
      </c>
      <c r="F371">
        <v>600000</v>
      </c>
      <c r="G371" t="s">
        <v>102</v>
      </c>
      <c r="I371">
        <v>0.49</v>
      </c>
      <c r="J371">
        <v>0.65</v>
      </c>
      <c r="K371">
        <v>0.82</v>
      </c>
      <c r="L371">
        <v>0.91</v>
      </c>
      <c r="M371" t="s">
        <v>98</v>
      </c>
      <c r="N371" t="s">
        <v>329</v>
      </c>
      <c r="Q371">
        <v>0.02</v>
      </c>
      <c r="R371">
        <v>0.04</v>
      </c>
      <c r="S371">
        <v>0.01</v>
      </c>
      <c r="T371">
        <v>0.02</v>
      </c>
      <c r="U371" t="s">
        <v>335</v>
      </c>
      <c r="V371" t="s">
        <v>362</v>
      </c>
    </row>
    <row r="372" spans="1:22" x14ac:dyDescent="0.25">
      <c r="A372" t="s">
        <v>328</v>
      </c>
      <c r="B372" t="s">
        <v>146</v>
      </c>
      <c r="C372" t="s">
        <v>94</v>
      </c>
      <c r="D372" t="s">
        <v>95</v>
      </c>
      <c r="E372" t="s">
        <v>180</v>
      </c>
      <c r="F372">
        <v>50000</v>
      </c>
      <c r="G372" t="s">
        <v>97</v>
      </c>
      <c r="H372">
        <v>200000</v>
      </c>
      <c r="K372">
        <v>0.38</v>
      </c>
      <c r="L372">
        <v>0.59</v>
      </c>
      <c r="M372" t="s">
        <v>98</v>
      </c>
      <c r="N372" t="s">
        <v>329</v>
      </c>
      <c r="S372">
        <v>7.0000000000000007E-2</v>
      </c>
      <c r="T372">
        <v>0.12</v>
      </c>
      <c r="U372" t="s">
        <v>343</v>
      </c>
      <c r="V372" t="s">
        <v>363</v>
      </c>
    </row>
    <row r="373" spans="1:22" x14ac:dyDescent="0.25">
      <c r="A373" t="s">
        <v>328</v>
      </c>
      <c r="B373" t="s">
        <v>146</v>
      </c>
      <c r="C373" t="s">
        <v>94</v>
      </c>
      <c r="D373" t="s">
        <v>100</v>
      </c>
      <c r="E373" t="s">
        <v>223</v>
      </c>
      <c r="F373">
        <v>200000</v>
      </c>
      <c r="G373" t="s">
        <v>102</v>
      </c>
      <c r="H373">
        <v>500000</v>
      </c>
      <c r="K373">
        <v>0.63</v>
      </c>
      <c r="L373">
        <v>0.77</v>
      </c>
      <c r="M373" t="s">
        <v>98</v>
      </c>
      <c r="N373" t="s">
        <v>329</v>
      </c>
      <c r="S373">
        <v>0.05</v>
      </c>
      <c r="T373">
        <v>0.08</v>
      </c>
      <c r="U373" t="s">
        <v>343</v>
      </c>
      <c r="V373" t="s">
        <v>363</v>
      </c>
    </row>
    <row r="374" spans="1:22" x14ac:dyDescent="0.25">
      <c r="A374" t="s">
        <v>328</v>
      </c>
      <c r="B374" t="s">
        <v>146</v>
      </c>
      <c r="C374" t="s">
        <v>94</v>
      </c>
      <c r="D374" t="s">
        <v>104</v>
      </c>
      <c r="E374" t="s">
        <v>141</v>
      </c>
      <c r="F374">
        <v>500000</v>
      </c>
      <c r="G374" t="s">
        <v>102</v>
      </c>
      <c r="K374">
        <v>0.76</v>
      </c>
      <c r="L374">
        <v>0.87</v>
      </c>
      <c r="M374" t="s">
        <v>98</v>
      </c>
      <c r="N374" t="s">
        <v>329</v>
      </c>
      <c r="S374">
        <v>0.03</v>
      </c>
      <c r="T374">
        <v>0.05</v>
      </c>
      <c r="U374" t="s">
        <v>343</v>
      </c>
      <c r="V374" t="s">
        <v>363</v>
      </c>
    </row>
    <row r="375" spans="1:22" x14ac:dyDescent="0.25">
      <c r="A375" t="s">
        <v>328</v>
      </c>
      <c r="B375" t="s">
        <v>148</v>
      </c>
      <c r="C375" t="s">
        <v>116</v>
      </c>
      <c r="D375" t="s">
        <v>95</v>
      </c>
      <c r="E375" t="s">
        <v>143</v>
      </c>
      <c r="F375">
        <v>65000</v>
      </c>
      <c r="G375" t="s">
        <v>97</v>
      </c>
      <c r="H375">
        <v>250000</v>
      </c>
      <c r="I375">
        <v>0.42</v>
      </c>
      <c r="J375">
        <v>0.55000000000000004</v>
      </c>
      <c r="K375">
        <v>0.73</v>
      </c>
      <c r="L375">
        <v>0.84</v>
      </c>
      <c r="M375" t="s">
        <v>98</v>
      </c>
      <c r="N375" t="s">
        <v>329</v>
      </c>
      <c r="Q375">
        <v>0.11</v>
      </c>
      <c r="R375">
        <v>0.15</v>
      </c>
      <c r="S375">
        <v>0.03</v>
      </c>
      <c r="T375">
        <v>0.05</v>
      </c>
      <c r="U375" t="s">
        <v>335</v>
      </c>
      <c r="V375" t="s">
        <v>364</v>
      </c>
    </row>
    <row r="376" spans="1:22" x14ac:dyDescent="0.25">
      <c r="A376" t="s">
        <v>328</v>
      </c>
      <c r="B376" t="s">
        <v>148</v>
      </c>
      <c r="C376" t="s">
        <v>116</v>
      </c>
      <c r="D376" t="s">
        <v>100</v>
      </c>
      <c r="E376" t="s">
        <v>178</v>
      </c>
      <c r="F376">
        <v>250000</v>
      </c>
      <c r="G376" t="s">
        <v>102</v>
      </c>
      <c r="I376">
        <v>0.43</v>
      </c>
      <c r="J376">
        <v>0.53</v>
      </c>
      <c r="K376">
        <v>0.81</v>
      </c>
      <c r="L376">
        <v>0.9</v>
      </c>
      <c r="M376" t="s">
        <v>98</v>
      </c>
      <c r="N376" t="s">
        <v>329</v>
      </c>
      <c r="Q376">
        <v>0.06</v>
      </c>
      <c r="R376">
        <v>0.13</v>
      </c>
      <c r="S376">
        <v>0.01</v>
      </c>
      <c r="T376">
        <v>0.02</v>
      </c>
      <c r="U376" t="s">
        <v>335</v>
      </c>
      <c r="V376" t="s">
        <v>364</v>
      </c>
    </row>
    <row r="377" spans="1:22" x14ac:dyDescent="0.25">
      <c r="A377" t="s">
        <v>328</v>
      </c>
      <c r="B377" t="s">
        <v>150</v>
      </c>
      <c r="C377" t="s">
        <v>94</v>
      </c>
      <c r="D377" t="s">
        <v>95</v>
      </c>
      <c r="E377" t="s">
        <v>174</v>
      </c>
      <c r="F377">
        <v>50000</v>
      </c>
      <c r="G377" t="s">
        <v>97</v>
      </c>
      <c r="H377">
        <v>100000</v>
      </c>
      <c r="K377">
        <v>0.42</v>
      </c>
      <c r="L377">
        <v>0.57999999999999996</v>
      </c>
      <c r="M377" t="s">
        <v>98</v>
      </c>
      <c r="N377" t="s">
        <v>329</v>
      </c>
      <c r="S377">
        <v>0.15</v>
      </c>
      <c r="T377">
        <v>0.23</v>
      </c>
      <c r="U377" t="s">
        <v>343</v>
      </c>
      <c r="V377" t="s">
        <v>365</v>
      </c>
    </row>
    <row r="378" spans="1:22" x14ac:dyDescent="0.25">
      <c r="A378" t="s">
        <v>328</v>
      </c>
      <c r="B378" t="s">
        <v>150</v>
      </c>
      <c r="C378" t="s">
        <v>94</v>
      </c>
      <c r="D378" t="s">
        <v>100</v>
      </c>
      <c r="E378" t="s">
        <v>229</v>
      </c>
      <c r="F378">
        <v>100000</v>
      </c>
      <c r="G378" t="s">
        <v>102</v>
      </c>
      <c r="H378">
        <v>300000</v>
      </c>
      <c r="K378">
        <v>0.48</v>
      </c>
      <c r="L378">
        <v>0.71</v>
      </c>
      <c r="M378" t="s">
        <v>98</v>
      </c>
      <c r="N378" t="s">
        <v>329</v>
      </c>
      <c r="S378">
        <v>0.14000000000000001</v>
      </c>
      <c r="T378">
        <v>0.21</v>
      </c>
      <c r="U378" t="s">
        <v>343</v>
      </c>
      <c r="V378" t="s">
        <v>365</v>
      </c>
    </row>
    <row r="379" spans="1:22" x14ac:dyDescent="0.25">
      <c r="A379" t="s">
        <v>328</v>
      </c>
      <c r="B379" t="s">
        <v>150</v>
      </c>
      <c r="C379" t="s">
        <v>94</v>
      </c>
      <c r="D379" t="s">
        <v>104</v>
      </c>
      <c r="E379" t="s">
        <v>209</v>
      </c>
      <c r="F379">
        <v>300000</v>
      </c>
      <c r="G379" t="s">
        <v>102</v>
      </c>
      <c r="K379">
        <v>0.76</v>
      </c>
      <c r="L379">
        <v>0.89</v>
      </c>
      <c r="M379" t="s">
        <v>98</v>
      </c>
      <c r="N379" t="s">
        <v>329</v>
      </c>
      <c r="S379">
        <v>7.0000000000000007E-2</v>
      </c>
      <c r="T379">
        <v>0.17</v>
      </c>
      <c r="U379" t="s">
        <v>343</v>
      </c>
      <c r="V379" t="s">
        <v>365</v>
      </c>
    </row>
    <row r="380" spans="1:22" x14ac:dyDescent="0.25">
      <c r="A380" t="s">
        <v>328</v>
      </c>
      <c r="B380" t="s">
        <v>152</v>
      </c>
      <c r="C380" t="s">
        <v>116</v>
      </c>
      <c r="D380" t="s">
        <v>95</v>
      </c>
      <c r="E380" t="s">
        <v>128</v>
      </c>
      <c r="F380">
        <v>65000</v>
      </c>
      <c r="G380" t="s">
        <v>97</v>
      </c>
      <c r="H380">
        <v>150000</v>
      </c>
      <c r="I380">
        <v>0.35</v>
      </c>
      <c r="J380">
        <v>0.51</v>
      </c>
      <c r="K380">
        <v>0.66</v>
      </c>
      <c r="L380">
        <v>0.84</v>
      </c>
      <c r="M380" t="s">
        <v>98</v>
      </c>
      <c r="N380" t="s">
        <v>329</v>
      </c>
      <c r="Q380">
        <v>0.13</v>
      </c>
      <c r="R380">
        <v>0.2</v>
      </c>
      <c r="S380">
        <v>0.03</v>
      </c>
      <c r="T380">
        <v>0.05</v>
      </c>
      <c r="U380" t="s">
        <v>335</v>
      </c>
      <c r="V380" t="s">
        <v>366</v>
      </c>
    </row>
    <row r="381" spans="1:22" x14ac:dyDescent="0.25">
      <c r="A381" t="s">
        <v>328</v>
      </c>
      <c r="B381" t="s">
        <v>152</v>
      </c>
      <c r="C381" t="s">
        <v>116</v>
      </c>
      <c r="D381" t="s">
        <v>100</v>
      </c>
      <c r="E381" t="s">
        <v>130</v>
      </c>
      <c r="F381">
        <v>150000</v>
      </c>
      <c r="G381" t="s">
        <v>102</v>
      </c>
      <c r="I381">
        <v>0.38</v>
      </c>
      <c r="J381">
        <v>0.53</v>
      </c>
      <c r="K381">
        <v>0.75</v>
      </c>
      <c r="L381">
        <v>0.9</v>
      </c>
      <c r="M381" t="s">
        <v>98</v>
      </c>
      <c r="N381" t="s">
        <v>329</v>
      </c>
      <c r="Q381">
        <v>0.06</v>
      </c>
      <c r="R381">
        <v>0.12</v>
      </c>
      <c r="S381">
        <v>0.01</v>
      </c>
      <c r="T381">
        <v>0.03</v>
      </c>
      <c r="U381" t="s">
        <v>335</v>
      </c>
      <c r="V381" t="s">
        <v>366</v>
      </c>
    </row>
    <row r="382" spans="1:22" x14ac:dyDescent="0.25">
      <c r="A382" t="s">
        <v>328</v>
      </c>
      <c r="B382" t="s">
        <v>153</v>
      </c>
      <c r="C382" t="s">
        <v>116</v>
      </c>
      <c r="D382" t="s">
        <v>95</v>
      </c>
      <c r="E382" t="s">
        <v>143</v>
      </c>
      <c r="F382">
        <v>65000</v>
      </c>
      <c r="G382" t="s">
        <v>97</v>
      </c>
      <c r="H382">
        <v>250000</v>
      </c>
      <c r="I382">
        <v>0.4</v>
      </c>
      <c r="J382">
        <v>0.56999999999999995</v>
      </c>
      <c r="K382">
        <v>0.76</v>
      </c>
      <c r="L382">
        <v>0.87</v>
      </c>
      <c r="M382" t="s">
        <v>98</v>
      </c>
      <c r="N382" t="s">
        <v>329</v>
      </c>
      <c r="Q382">
        <v>0.09</v>
      </c>
      <c r="R382">
        <v>0.18</v>
      </c>
      <c r="S382">
        <v>0.03</v>
      </c>
      <c r="T382">
        <v>0.04</v>
      </c>
      <c r="U382" t="s">
        <v>335</v>
      </c>
      <c r="V382" t="s">
        <v>367</v>
      </c>
    </row>
    <row r="383" spans="1:22" x14ac:dyDescent="0.25">
      <c r="A383" t="s">
        <v>328</v>
      </c>
      <c r="B383" t="s">
        <v>153</v>
      </c>
      <c r="C383" t="s">
        <v>116</v>
      </c>
      <c r="D383" t="s">
        <v>100</v>
      </c>
      <c r="E383" t="s">
        <v>212</v>
      </c>
      <c r="F383">
        <v>250000</v>
      </c>
      <c r="G383" t="s">
        <v>102</v>
      </c>
      <c r="H383">
        <v>500000</v>
      </c>
      <c r="I383">
        <v>0.46</v>
      </c>
      <c r="J383">
        <v>0.56000000000000005</v>
      </c>
      <c r="K383">
        <v>0.8</v>
      </c>
      <c r="L383">
        <v>0.89</v>
      </c>
      <c r="M383" t="s">
        <v>98</v>
      </c>
      <c r="N383" t="s">
        <v>329</v>
      </c>
      <c r="Q383">
        <v>0.09</v>
      </c>
      <c r="R383">
        <v>0.14000000000000001</v>
      </c>
      <c r="S383">
        <v>0.01</v>
      </c>
      <c r="T383">
        <v>0.02</v>
      </c>
      <c r="U383" t="s">
        <v>335</v>
      </c>
      <c r="V383" t="s">
        <v>367</v>
      </c>
    </row>
    <row r="384" spans="1:22" x14ac:dyDescent="0.25">
      <c r="A384" t="s">
        <v>328</v>
      </c>
      <c r="B384" t="s">
        <v>153</v>
      </c>
      <c r="C384" t="s">
        <v>116</v>
      </c>
      <c r="D384" t="s">
        <v>104</v>
      </c>
      <c r="E384" t="s">
        <v>141</v>
      </c>
      <c r="F384">
        <v>500000</v>
      </c>
      <c r="G384" t="s">
        <v>102</v>
      </c>
      <c r="I384">
        <v>0.52</v>
      </c>
      <c r="J384">
        <v>0.63</v>
      </c>
      <c r="K384">
        <v>0.86</v>
      </c>
      <c r="L384">
        <v>0.93</v>
      </c>
      <c r="M384" t="s">
        <v>98</v>
      </c>
      <c r="N384" t="s">
        <v>329</v>
      </c>
      <c r="Q384">
        <v>0.05</v>
      </c>
      <c r="R384">
        <v>0.09</v>
      </c>
      <c r="S384">
        <v>0.01</v>
      </c>
      <c r="T384">
        <v>0.01</v>
      </c>
      <c r="U384" t="s">
        <v>335</v>
      </c>
      <c r="V384" t="s">
        <v>367</v>
      </c>
    </row>
    <row r="385" spans="1:22" x14ac:dyDescent="0.25">
      <c r="A385" t="s">
        <v>328</v>
      </c>
      <c r="B385" t="s">
        <v>155</v>
      </c>
      <c r="C385" t="s">
        <v>94</v>
      </c>
      <c r="D385" t="s">
        <v>95</v>
      </c>
      <c r="E385" t="s">
        <v>237</v>
      </c>
      <c r="F385">
        <v>50000</v>
      </c>
      <c r="G385" t="s">
        <v>97</v>
      </c>
      <c r="H385">
        <v>90000</v>
      </c>
      <c r="K385">
        <v>0.38</v>
      </c>
      <c r="L385">
        <v>0.56000000000000005</v>
      </c>
      <c r="M385" t="s">
        <v>98</v>
      </c>
      <c r="N385" t="s">
        <v>329</v>
      </c>
      <c r="S385">
        <v>0.14000000000000001</v>
      </c>
      <c r="T385">
        <v>0.21</v>
      </c>
      <c r="U385" t="s">
        <v>343</v>
      </c>
      <c r="V385" t="s">
        <v>368</v>
      </c>
    </row>
    <row r="386" spans="1:22" x14ac:dyDescent="0.25">
      <c r="A386" t="s">
        <v>328</v>
      </c>
      <c r="B386" t="s">
        <v>155</v>
      </c>
      <c r="C386" t="s">
        <v>94</v>
      </c>
      <c r="D386" t="s">
        <v>100</v>
      </c>
      <c r="E386" t="s">
        <v>239</v>
      </c>
      <c r="F386">
        <v>90000</v>
      </c>
      <c r="G386" t="s">
        <v>102</v>
      </c>
      <c r="H386">
        <v>210000</v>
      </c>
      <c r="K386">
        <v>0.48</v>
      </c>
      <c r="L386">
        <v>0.66</v>
      </c>
      <c r="M386" t="s">
        <v>98</v>
      </c>
      <c r="N386" t="s">
        <v>329</v>
      </c>
      <c r="S386">
        <v>0.14000000000000001</v>
      </c>
      <c r="T386">
        <v>0.21</v>
      </c>
      <c r="U386" t="s">
        <v>343</v>
      </c>
      <c r="V386" t="s">
        <v>368</v>
      </c>
    </row>
    <row r="387" spans="1:22" x14ac:dyDescent="0.25">
      <c r="A387" t="s">
        <v>328</v>
      </c>
      <c r="B387" t="s">
        <v>155</v>
      </c>
      <c r="C387" t="s">
        <v>94</v>
      </c>
      <c r="D387" t="s">
        <v>104</v>
      </c>
      <c r="E387" t="s">
        <v>241</v>
      </c>
      <c r="F387">
        <v>210000</v>
      </c>
      <c r="G387" t="s">
        <v>102</v>
      </c>
      <c r="K387">
        <v>0.66</v>
      </c>
      <c r="L387">
        <v>0.82</v>
      </c>
      <c r="M387" t="s">
        <v>98</v>
      </c>
      <c r="N387" t="s">
        <v>329</v>
      </c>
      <c r="S387">
        <v>0.09</v>
      </c>
      <c r="T387">
        <v>0.2</v>
      </c>
      <c r="U387" t="s">
        <v>343</v>
      </c>
      <c r="V387" t="s">
        <v>368</v>
      </c>
    </row>
    <row r="388" spans="1:22" x14ac:dyDescent="0.25">
      <c r="A388" t="s">
        <v>328</v>
      </c>
      <c r="B388" t="s">
        <v>157</v>
      </c>
      <c r="C388" t="s">
        <v>94</v>
      </c>
      <c r="D388" t="s">
        <v>95</v>
      </c>
      <c r="E388" t="s">
        <v>164</v>
      </c>
      <c r="F388">
        <v>65000</v>
      </c>
      <c r="G388" t="s">
        <v>97</v>
      </c>
      <c r="H388">
        <v>300000</v>
      </c>
      <c r="K388">
        <v>0.43</v>
      </c>
      <c r="L388">
        <v>0.65</v>
      </c>
      <c r="M388" t="s">
        <v>98</v>
      </c>
      <c r="N388" t="s">
        <v>329</v>
      </c>
      <c r="Q388">
        <v>0.08</v>
      </c>
      <c r="R388">
        <v>0.12</v>
      </c>
      <c r="S388">
        <v>0.02</v>
      </c>
      <c r="T388">
        <v>0.04</v>
      </c>
      <c r="U388" t="s">
        <v>335</v>
      </c>
      <c r="V388" t="s">
        <v>369</v>
      </c>
    </row>
    <row r="389" spans="1:22" x14ac:dyDescent="0.25">
      <c r="A389" t="s">
        <v>328</v>
      </c>
      <c r="B389" t="s">
        <v>157</v>
      </c>
      <c r="C389" t="s">
        <v>94</v>
      </c>
      <c r="D389" t="s">
        <v>100</v>
      </c>
      <c r="E389" t="s">
        <v>160</v>
      </c>
      <c r="F389">
        <v>300000</v>
      </c>
      <c r="G389" t="s">
        <v>102</v>
      </c>
      <c r="H389">
        <v>900000</v>
      </c>
      <c r="K389">
        <v>0.6</v>
      </c>
      <c r="L389">
        <v>0.73</v>
      </c>
      <c r="M389" t="s">
        <v>98</v>
      </c>
      <c r="N389" t="s">
        <v>329</v>
      </c>
      <c r="Q389">
        <v>0.08</v>
      </c>
      <c r="R389">
        <v>0.12</v>
      </c>
      <c r="S389">
        <v>0.01</v>
      </c>
      <c r="T389">
        <v>0.02</v>
      </c>
      <c r="U389" t="s">
        <v>335</v>
      </c>
      <c r="V389" t="s">
        <v>369</v>
      </c>
    </row>
    <row r="390" spans="1:22" x14ac:dyDescent="0.25">
      <c r="A390" t="s">
        <v>328</v>
      </c>
      <c r="B390" t="s">
        <v>157</v>
      </c>
      <c r="C390" t="s">
        <v>94</v>
      </c>
      <c r="D390" t="s">
        <v>104</v>
      </c>
      <c r="E390" t="s">
        <v>162</v>
      </c>
      <c r="F390">
        <v>900000</v>
      </c>
      <c r="G390" t="s">
        <v>102</v>
      </c>
      <c r="K390">
        <v>0.59</v>
      </c>
      <c r="L390">
        <v>0.72</v>
      </c>
      <c r="M390" t="s">
        <v>98</v>
      </c>
      <c r="N390" t="s">
        <v>329</v>
      </c>
      <c r="Q390">
        <v>0.04</v>
      </c>
      <c r="R390">
        <v>7.0000000000000007E-2</v>
      </c>
      <c r="S390">
        <v>0</v>
      </c>
      <c r="T390">
        <v>0.01</v>
      </c>
      <c r="U390" t="s">
        <v>335</v>
      </c>
      <c r="V390" t="s">
        <v>369</v>
      </c>
    </row>
    <row r="391" spans="1:22" x14ac:dyDescent="0.25">
      <c r="A391" t="s">
        <v>328</v>
      </c>
      <c r="B391" t="s">
        <v>159</v>
      </c>
      <c r="C391" t="s">
        <v>94</v>
      </c>
      <c r="D391" t="s">
        <v>95</v>
      </c>
      <c r="E391" t="s">
        <v>246</v>
      </c>
      <c r="F391">
        <v>50000</v>
      </c>
      <c r="G391" t="s">
        <v>97</v>
      </c>
      <c r="H391">
        <v>435000</v>
      </c>
      <c r="K391">
        <v>0.55000000000000004</v>
      </c>
      <c r="L391">
        <v>0.67</v>
      </c>
      <c r="M391" t="s">
        <v>98</v>
      </c>
      <c r="N391" t="s">
        <v>329</v>
      </c>
      <c r="O391">
        <v>0.25</v>
      </c>
      <c r="P391">
        <v>0.41</v>
      </c>
      <c r="Q391">
        <v>0.09</v>
      </c>
      <c r="R391">
        <v>0.15</v>
      </c>
      <c r="S391">
        <v>0.01</v>
      </c>
      <c r="T391">
        <v>0.03</v>
      </c>
      <c r="U391" t="s">
        <v>338</v>
      </c>
      <c r="V391" t="s">
        <v>370</v>
      </c>
    </row>
    <row r="392" spans="1:22" x14ac:dyDescent="0.25">
      <c r="A392" t="s">
        <v>328</v>
      </c>
      <c r="B392" t="s">
        <v>159</v>
      </c>
      <c r="C392" t="s">
        <v>94</v>
      </c>
      <c r="D392" t="s">
        <v>100</v>
      </c>
      <c r="E392" t="s">
        <v>248</v>
      </c>
      <c r="F392">
        <v>435000</v>
      </c>
      <c r="G392" t="s">
        <v>102</v>
      </c>
      <c r="H392">
        <v>815000</v>
      </c>
      <c r="K392">
        <v>0.65</v>
      </c>
      <c r="L392">
        <v>0.73</v>
      </c>
      <c r="M392" t="s">
        <v>98</v>
      </c>
      <c r="N392" t="s">
        <v>329</v>
      </c>
      <c r="O392">
        <v>0.24</v>
      </c>
      <c r="P392">
        <v>0.37</v>
      </c>
      <c r="Q392">
        <v>7.0000000000000007E-2</v>
      </c>
      <c r="R392">
        <v>0.1</v>
      </c>
      <c r="S392">
        <v>0.01</v>
      </c>
      <c r="T392">
        <v>0.01</v>
      </c>
      <c r="U392" t="s">
        <v>338</v>
      </c>
      <c r="V392" t="s">
        <v>370</v>
      </c>
    </row>
    <row r="393" spans="1:22" x14ac:dyDescent="0.25">
      <c r="A393" t="s">
        <v>328</v>
      </c>
      <c r="B393" t="s">
        <v>159</v>
      </c>
      <c r="C393" t="s">
        <v>94</v>
      </c>
      <c r="D393" t="s">
        <v>104</v>
      </c>
      <c r="E393" t="s">
        <v>250</v>
      </c>
      <c r="F393">
        <v>815000</v>
      </c>
      <c r="G393" t="s">
        <v>102</v>
      </c>
      <c r="K393">
        <v>0.67</v>
      </c>
      <c r="L393">
        <v>0.8</v>
      </c>
      <c r="M393" t="s">
        <v>98</v>
      </c>
      <c r="N393" t="s">
        <v>329</v>
      </c>
      <c r="O393">
        <v>0.23</v>
      </c>
      <c r="P393">
        <v>0.37</v>
      </c>
      <c r="Q393">
        <v>0.04</v>
      </c>
      <c r="R393">
        <v>7.0000000000000007E-2</v>
      </c>
      <c r="S393">
        <v>0</v>
      </c>
      <c r="T393">
        <v>0.01</v>
      </c>
      <c r="U393" t="s">
        <v>338</v>
      </c>
      <c r="V393" t="s">
        <v>370</v>
      </c>
    </row>
    <row r="394" spans="1:22" x14ac:dyDescent="0.25">
      <c r="A394" t="s">
        <v>328</v>
      </c>
      <c r="B394" t="s">
        <v>161</v>
      </c>
      <c r="C394" t="s">
        <v>116</v>
      </c>
      <c r="D394" t="s">
        <v>95</v>
      </c>
      <c r="E394" t="s">
        <v>143</v>
      </c>
      <c r="F394">
        <v>65000</v>
      </c>
      <c r="G394" t="s">
        <v>97</v>
      </c>
      <c r="H394">
        <v>250000</v>
      </c>
      <c r="I394">
        <v>0.42</v>
      </c>
      <c r="J394">
        <v>0.53</v>
      </c>
      <c r="K394">
        <v>0.79</v>
      </c>
      <c r="L394">
        <v>0.88</v>
      </c>
      <c r="M394" t="s">
        <v>98</v>
      </c>
      <c r="N394" t="s">
        <v>329</v>
      </c>
      <c r="Q394">
        <v>0.2</v>
      </c>
      <c r="R394">
        <v>0.3</v>
      </c>
      <c r="S394">
        <v>0.02</v>
      </c>
      <c r="T394">
        <v>0.03</v>
      </c>
      <c r="U394" t="s">
        <v>335</v>
      </c>
      <c r="V394" t="s">
        <v>371</v>
      </c>
    </row>
    <row r="395" spans="1:22" x14ac:dyDescent="0.25">
      <c r="A395" t="s">
        <v>328</v>
      </c>
      <c r="B395" t="s">
        <v>161</v>
      </c>
      <c r="C395" t="s">
        <v>116</v>
      </c>
      <c r="D395" t="s">
        <v>100</v>
      </c>
      <c r="E395" t="s">
        <v>216</v>
      </c>
      <c r="F395">
        <v>250000</v>
      </c>
      <c r="G395" t="s">
        <v>102</v>
      </c>
      <c r="H395">
        <v>600000</v>
      </c>
      <c r="I395">
        <v>0.47</v>
      </c>
      <c r="J395">
        <v>0.52</v>
      </c>
      <c r="K395">
        <v>0.83</v>
      </c>
      <c r="L395">
        <v>0.92</v>
      </c>
      <c r="M395" t="s">
        <v>98</v>
      </c>
      <c r="N395" t="s">
        <v>329</v>
      </c>
      <c r="Q395">
        <v>0.19</v>
      </c>
      <c r="R395">
        <v>0.25</v>
      </c>
      <c r="S395">
        <v>0.01</v>
      </c>
      <c r="T395">
        <v>0.02</v>
      </c>
      <c r="U395" t="s">
        <v>335</v>
      </c>
      <c r="V395" t="s">
        <v>371</v>
      </c>
    </row>
    <row r="396" spans="1:22" x14ac:dyDescent="0.25">
      <c r="A396" t="s">
        <v>328</v>
      </c>
      <c r="B396" t="s">
        <v>161</v>
      </c>
      <c r="C396" t="s">
        <v>116</v>
      </c>
      <c r="D396" t="s">
        <v>104</v>
      </c>
      <c r="E396" t="s">
        <v>105</v>
      </c>
      <c r="F396">
        <v>600000</v>
      </c>
      <c r="G396" t="s">
        <v>102</v>
      </c>
      <c r="I396">
        <v>0.47</v>
      </c>
      <c r="J396">
        <v>0.55000000000000004</v>
      </c>
      <c r="K396">
        <v>0.86</v>
      </c>
      <c r="L396">
        <v>0.93</v>
      </c>
      <c r="M396" t="s">
        <v>98</v>
      </c>
      <c r="N396" t="s">
        <v>329</v>
      </c>
      <c r="Q396">
        <v>0.12</v>
      </c>
      <c r="R396">
        <v>0.21</v>
      </c>
      <c r="S396">
        <v>0.01</v>
      </c>
      <c r="T396">
        <v>0.01</v>
      </c>
      <c r="U396" t="s">
        <v>335</v>
      </c>
      <c r="V396" t="s">
        <v>371</v>
      </c>
    </row>
    <row r="397" spans="1:22" x14ac:dyDescent="0.25">
      <c r="A397" t="s">
        <v>328</v>
      </c>
      <c r="B397" t="s">
        <v>163</v>
      </c>
      <c r="C397" t="s">
        <v>94</v>
      </c>
      <c r="D397" t="s">
        <v>95</v>
      </c>
      <c r="E397" t="s">
        <v>96</v>
      </c>
      <c r="F397">
        <v>50000</v>
      </c>
      <c r="G397" t="s">
        <v>97</v>
      </c>
      <c r="H397">
        <v>150000</v>
      </c>
      <c r="I397">
        <v>0.2</v>
      </c>
      <c r="J397">
        <v>0.35</v>
      </c>
      <c r="K397">
        <v>0.48</v>
      </c>
      <c r="L397">
        <v>0.67</v>
      </c>
      <c r="M397" t="s">
        <v>98</v>
      </c>
      <c r="N397" t="s">
        <v>329</v>
      </c>
      <c r="Q397">
        <v>0.06</v>
      </c>
      <c r="R397">
        <v>0.12</v>
      </c>
      <c r="S397">
        <v>7.0000000000000007E-2</v>
      </c>
      <c r="T397">
        <v>0.11</v>
      </c>
      <c r="U397" t="s">
        <v>330</v>
      </c>
      <c r="V397" t="s">
        <v>372</v>
      </c>
    </row>
    <row r="398" spans="1:22" x14ac:dyDescent="0.25">
      <c r="A398" t="s">
        <v>328</v>
      </c>
      <c r="B398" t="s">
        <v>163</v>
      </c>
      <c r="C398" t="s">
        <v>94</v>
      </c>
      <c r="D398" t="s">
        <v>100</v>
      </c>
      <c r="E398" t="s">
        <v>101</v>
      </c>
      <c r="F398">
        <v>150000</v>
      </c>
      <c r="G398" t="s">
        <v>102</v>
      </c>
      <c r="H398">
        <v>600000</v>
      </c>
      <c r="I398">
        <v>0.28999999999999998</v>
      </c>
      <c r="J398">
        <v>0.42</v>
      </c>
      <c r="K398">
        <v>0.59</v>
      </c>
      <c r="L398">
        <v>0.76</v>
      </c>
      <c r="M398" t="s">
        <v>98</v>
      </c>
      <c r="N398" t="s">
        <v>329</v>
      </c>
      <c r="Q398">
        <v>0.04</v>
      </c>
      <c r="R398">
        <v>0.08</v>
      </c>
      <c r="S398">
        <v>0.05</v>
      </c>
      <c r="T398">
        <v>7.0000000000000007E-2</v>
      </c>
      <c r="U398" t="s">
        <v>330</v>
      </c>
      <c r="V398" t="s">
        <v>372</v>
      </c>
    </row>
    <row r="399" spans="1:22" x14ac:dyDescent="0.25">
      <c r="A399" t="s">
        <v>328</v>
      </c>
      <c r="B399" t="s">
        <v>163</v>
      </c>
      <c r="C399" t="s">
        <v>94</v>
      </c>
      <c r="D399" t="s">
        <v>104</v>
      </c>
      <c r="E399" t="s">
        <v>105</v>
      </c>
      <c r="F399">
        <v>600000</v>
      </c>
      <c r="G399" t="s">
        <v>102</v>
      </c>
      <c r="I399">
        <v>0.36</v>
      </c>
      <c r="J399">
        <v>0.48</v>
      </c>
      <c r="K399">
        <v>0.77</v>
      </c>
      <c r="L399">
        <v>0.88</v>
      </c>
      <c r="M399" t="s">
        <v>98</v>
      </c>
      <c r="N399" t="s">
        <v>329</v>
      </c>
      <c r="Q399">
        <v>0.02</v>
      </c>
      <c r="R399">
        <v>0.04</v>
      </c>
      <c r="S399">
        <v>0.03</v>
      </c>
      <c r="T399">
        <v>0.04</v>
      </c>
      <c r="U399" t="s">
        <v>330</v>
      </c>
      <c r="V399" t="s">
        <v>372</v>
      </c>
    </row>
    <row r="400" spans="1:22" x14ac:dyDescent="0.25">
      <c r="A400" t="s">
        <v>328</v>
      </c>
      <c r="B400" t="s">
        <v>165</v>
      </c>
      <c r="C400" t="s">
        <v>94</v>
      </c>
      <c r="D400" t="s">
        <v>95</v>
      </c>
      <c r="E400" t="s">
        <v>256</v>
      </c>
      <c r="F400">
        <v>50000</v>
      </c>
      <c r="G400" t="s">
        <v>97</v>
      </c>
      <c r="H400">
        <v>75000</v>
      </c>
      <c r="K400">
        <v>0.32</v>
      </c>
      <c r="L400">
        <v>0.45</v>
      </c>
      <c r="M400" t="s">
        <v>98</v>
      </c>
      <c r="N400" t="s">
        <v>329</v>
      </c>
      <c r="S400">
        <v>0.16</v>
      </c>
      <c r="T400">
        <v>0.22</v>
      </c>
      <c r="U400" t="s">
        <v>343</v>
      </c>
      <c r="V400" t="s">
        <v>373</v>
      </c>
    </row>
    <row r="401" spans="1:22" x14ac:dyDescent="0.25">
      <c r="A401" t="s">
        <v>328</v>
      </c>
      <c r="B401" t="s">
        <v>165</v>
      </c>
      <c r="C401" t="s">
        <v>94</v>
      </c>
      <c r="D401" t="s">
        <v>100</v>
      </c>
      <c r="E401" t="s">
        <v>257</v>
      </c>
      <c r="F401">
        <v>75000</v>
      </c>
      <c r="G401" t="s">
        <v>102</v>
      </c>
      <c r="H401">
        <v>165000</v>
      </c>
      <c r="K401">
        <v>0.34</v>
      </c>
      <c r="L401">
        <v>0.5</v>
      </c>
      <c r="M401" t="s">
        <v>98</v>
      </c>
      <c r="N401" t="s">
        <v>329</v>
      </c>
      <c r="S401">
        <v>0.12</v>
      </c>
      <c r="T401">
        <v>0.18</v>
      </c>
      <c r="U401" t="s">
        <v>343</v>
      </c>
      <c r="V401" t="s">
        <v>373</v>
      </c>
    </row>
    <row r="402" spans="1:22" x14ac:dyDescent="0.25">
      <c r="A402" t="s">
        <v>328</v>
      </c>
      <c r="B402" t="s">
        <v>165</v>
      </c>
      <c r="C402" t="s">
        <v>94</v>
      </c>
      <c r="D402" t="s">
        <v>104</v>
      </c>
      <c r="E402" t="s">
        <v>258</v>
      </c>
      <c r="F402">
        <v>165000</v>
      </c>
      <c r="G402" t="s">
        <v>102</v>
      </c>
      <c r="K402">
        <v>0.51</v>
      </c>
      <c r="L402">
        <v>0.7</v>
      </c>
      <c r="M402" t="s">
        <v>98</v>
      </c>
      <c r="N402" t="s">
        <v>329</v>
      </c>
      <c r="S402">
        <v>0.06</v>
      </c>
      <c r="T402">
        <v>0.14000000000000001</v>
      </c>
      <c r="U402" t="s">
        <v>343</v>
      </c>
      <c r="V402" t="s">
        <v>373</v>
      </c>
    </row>
    <row r="403" spans="1:22" x14ac:dyDescent="0.25">
      <c r="A403" t="s">
        <v>328</v>
      </c>
      <c r="B403" t="s">
        <v>167</v>
      </c>
      <c r="C403" t="s">
        <v>116</v>
      </c>
      <c r="D403" t="s">
        <v>95</v>
      </c>
      <c r="E403" t="s">
        <v>259</v>
      </c>
      <c r="F403">
        <v>65000</v>
      </c>
      <c r="G403" t="s">
        <v>97</v>
      </c>
      <c r="H403">
        <v>750000</v>
      </c>
      <c r="I403">
        <v>0.44</v>
      </c>
      <c r="J403">
        <v>0.61</v>
      </c>
      <c r="K403">
        <v>0.71</v>
      </c>
      <c r="L403">
        <v>0.87</v>
      </c>
      <c r="M403" t="s">
        <v>98</v>
      </c>
      <c r="N403" t="s">
        <v>329</v>
      </c>
      <c r="Q403">
        <v>0.05</v>
      </c>
      <c r="R403">
        <v>0.1</v>
      </c>
      <c r="S403">
        <v>0.03</v>
      </c>
      <c r="T403">
        <v>0.05</v>
      </c>
      <c r="U403" t="s">
        <v>335</v>
      </c>
      <c r="V403" t="s">
        <v>374</v>
      </c>
    </row>
    <row r="404" spans="1:22" x14ac:dyDescent="0.25">
      <c r="A404" t="s">
        <v>328</v>
      </c>
      <c r="B404" t="s">
        <v>167</v>
      </c>
      <c r="C404" t="s">
        <v>116</v>
      </c>
      <c r="D404" t="s">
        <v>100</v>
      </c>
      <c r="E404" t="s">
        <v>260</v>
      </c>
      <c r="F404">
        <v>750000</v>
      </c>
      <c r="G404" t="s">
        <v>102</v>
      </c>
      <c r="H404">
        <v>2000000</v>
      </c>
      <c r="I404">
        <v>0.54</v>
      </c>
      <c r="J404">
        <v>0.67</v>
      </c>
      <c r="K404">
        <v>0.83</v>
      </c>
      <c r="L404">
        <v>0.92</v>
      </c>
      <c r="M404" t="s">
        <v>98</v>
      </c>
      <c r="N404" t="s">
        <v>329</v>
      </c>
      <c r="Q404">
        <v>0.03</v>
      </c>
      <c r="R404">
        <v>0.06</v>
      </c>
      <c r="S404">
        <v>0.01</v>
      </c>
      <c r="T404">
        <v>0.02</v>
      </c>
      <c r="U404" t="s">
        <v>335</v>
      </c>
      <c r="V404" t="s">
        <v>374</v>
      </c>
    </row>
    <row r="405" spans="1:22" x14ac:dyDescent="0.25">
      <c r="A405" t="s">
        <v>328</v>
      </c>
      <c r="B405" t="s">
        <v>167</v>
      </c>
      <c r="C405" t="s">
        <v>116</v>
      </c>
      <c r="D405" t="s">
        <v>104</v>
      </c>
      <c r="E405" t="s">
        <v>151</v>
      </c>
      <c r="F405">
        <v>2000000</v>
      </c>
      <c r="G405" t="s">
        <v>102</v>
      </c>
      <c r="I405">
        <v>0.59</v>
      </c>
      <c r="J405">
        <v>0.73</v>
      </c>
      <c r="K405">
        <v>0.89</v>
      </c>
      <c r="L405">
        <v>0.95</v>
      </c>
      <c r="M405" t="s">
        <v>98</v>
      </c>
      <c r="N405" t="s">
        <v>329</v>
      </c>
      <c r="Q405">
        <v>0.02</v>
      </c>
      <c r="R405">
        <v>0.04</v>
      </c>
      <c r="S405">
        <v>0.01</v>
      </c>
      <c r="T405">
        <v>0.01</v>
      </c>
      <c r="U405" t="s">
        <v>335</v>
      </c>
      <c r="V405" t="s">
        <v>374</v>
      </c>
    </row>
    <row r="406" spans="1:22" x14ac:dyDescent="0.25">
      <c r="A406" t="s">
        <v>328</v>
      </c>
      <c r="B406" t="s">
        <v>168</v>
      </c>
      <c r="C406" t="s">
        <v>94</v>
      </c>
      <c r="D406" t="s">
        <v>95</v>
      </c>
      <c r="E406" t="s">
        <v>180</v>
      </c>
      <c r="F406">
        <v>50000</v>
      </c>
      <c r="G406" t="s">
        <v>97</v>
      </c>
      <c r="H406">
        <v>200000</v>
      </c>
      <c r="I406">
        <v>0.22</v>
      </c>
      <c r="J406">
        <v>0.34</v>
      </c>
      <c r="K406">
        <v>0.51</v>
      </c>
      <c r="L406">
        <v>0.68</v>
      </c>
      <c r="M406" t="s">
        <v>98</v>
      </c>
      <c r="N406" t="s">
        <v>329</v>
      </c>
      <c r="O406">
        <v>0.21</v>
      </c>
      <c r="P406">
        <v>0.35</v>
      </c>
      <c r="S406">
        <v>0.06</v>
      </c>
      <c r="T406">
        <v>0.1</v>
      </c>
      <c r="U406" t="s">
        <v>375</v>
      </c>
      <c r="V406" t="s">
        <v>376</v>
      </c>
    </row>
    <row r="407" spans="1:22" x14ac:dyDescent="0.25">
      <c r="A407" t="s">
        <v>328</v>
      </c>
      <c r="B407" t="s">
        <v>168</v>
      </c>
      <c r="C407" t="s">
        <v>94</v>
      </c>
      <c r="D407" t="s">
        <v>100</v>
      </c>
      <c r="E407" t="s">
        <v>223</v>
      </c>
      <c r="F407">
        <v>200000</v>
      </c>
      <c r="G407" t="s">
        <v>102</v>
      </c>
      <c r="H407">
        <v>500000</v>
      </c>
      <c r="I407">
        <v>0.26</v>
      </c>
      <c r="J407">
        <v>0.36</v>
      </c>
      <c r="K407">
        <v>0.59</v>
      </c>
      <c r="L407">
        <v>0.75</v>
      </c>
      <c r="M407" t="s">
        <v>98</v>
      </c>
      <c r="N407" t="s">
        <v>329</v>
      </c>
      <c r="O407">
        <v>0.17</v>
      </c>
      <c r="P407">
        <v>0.3</v>
      </c>
      <c r="S407">
        <v>0.04</v>
      </c>
      <c r="T407">
        <v>7.0000000000000007E-2</v>
      </c>
      <c r="U407" t="s">
        <v>375</v>
      </c>
      <c r="V407" t="s">
        <v>376</v>
      </c>
    </row>
    <row r="408" spans="1:22" x14ac:dyDescent="0.25">
      <c r="A408" t="s">
        <v>328</v>
      </c>
      <c r="B408" t="s">
        <v>168</v>
      </c>
      <c r="C408" t="s">
        <v>94</v>
      </c>
      <c r="D408" t="s">
        <v>104</v>
      </c>
      <c r="E408" t="s">
        <v>141</v>
      </c>
      <c r="F408">
        <v>500000</v>
      </c>
      <c r="G408" t="s">
        <v>102</v>
      </c>
      <c r="I408">
        <v>0.3</v>
      </c>
      <c r="J408">
        <v>0.41</v>
      </c>
      <c r="K408">
        <v>0.75</v>
      </c>
      <c r="L408">
        <v>0.86</v>
      </c>
      <c r="M408" t="s">
        <v>98</v>
      </c>
      <c r="N408" t="s">
        <v>329</v>
      </c>
      <c r="O408">
        <v>0.23</v>
      </c>
      <c r="P408">
        <v>0.34</v>
      </c>
      <c r="S408">
        <v>0.03</v>
      </c>
      <c r="T408">
        <v>0.04</v>
      </c>
      <c r="U408" t="s">
        <v>375</v>
      </c>
      <c r="V408" t="s">
        <v>376</v>
      </c>
    </row>
    <row r="409" spans="1:22" x14ac:dyDescent="0.25">
      <c r="A409" t="s">
        <v>328</v>
      </c>
      <c r="B409" t="s">
        <v>170</v>
      </c>
      <c r="C409" t="s">
        <v>116</v>
      </c>
      <c r="D409" t="s">
        <v>95</v>
      </c>
      <c r="E409" t="s">
        <v>261</v>
      </c>
      <c r="F409">
        <v>65000</v>
      </c>
      <c r="G409" t="s">
        <v>97</v>
      </c>
      <c r="H409">
        <v>350000</v>
      </c>
      <c r="I409">
        <v>0.32</v>
      </c>
      <c r="J409">
        <v>0.51</v>
      </c>
      <c r="K409">
        <v>0.54</v>
      </c>
      <c r="L409">
        <v>0.75</v>
      </c>
      <c r="M409" t="s">
        <v>98</v>
      </c>
      <c r="N409" t="s">
        <v>329</v>
      </c>
      <c r="Q409">
        <v>0.09</v>
      </c>
      <c r="R409">
        <v>0.13</v>
      </c>
      <c r="S409">
        <v>0.03</v>
      </c>
      <c r="T409">
        <v>0.05</v>
      </c>
      <c r="U409" t="s">
        <v>335</v>
      </c>
      <c r="V409" t="s">
        <v>377</v>
      </c>
    </row>
    <row r="410" spans="1:22" x14ac:dyDescent="0.25">
      <c r="A410" t="s">
        <v>328</v>
      </c>
      <c r="B410" t="s">
        <v>170</v>
      </c>
      <c r="C410" t="s">
        <v>116</v>
      </c>
      <c r="D410" t="s">
        <v>100</v>
      </c>
      <c r="E410" t="s">
        <v>156</v>
      </c>
      <c r="F410">
        <v>350000</v>
      </c>
      <c r="G410" t="s">
        <v>102</v>
      </c>
      <c r="I410">
        <v>0.39</v>
      </c>
      <c r="J410">
        <v>0.56000000000000005</v>
      </c>
      <c r="K410">
        <v>0.76</v>
      </c>
      <c r="L410">
        <v>0.87</v>
      </c>
      <c r="M410" t="s">
        <v>98</v>
      </c>
      <c r="N410" t="s">
        <v>329</v>
      </c>
      <c r="Q410">
        <v>0.04</v>
      </c>
      <c r="R410">
        <v>0.08</v>
      </c>
      <c r="S410">
        <v>0.01</v>
      </c>
      <c r="T410">
        <v>0.01</v>
      </c>
      <c r="U410" t="s">
        <v>335</v>
      </c>
      <c r="V410" t="s">
        <v>377</v>
      </c>
    </row>
    <row r="411" spans="1:22" x14ac:dyDescent="0.25">
      <c r="A411" t="s">
        <v>328</v>
      </c>
      <c r="B411" t="s">
        <v>172</v>
      </c>
      <c r="C411" t="s">
        <v>94</v>
      </c>
      <c r="D411" t="s">
        <v>95</v>
      </c>
      <c r="E411" t="s">
        <v>117</v>
      </c>
      <c r="F411">
        <v>50000</v>
      </c>
      <c r="G411" t="s">
        <v>97</v>
      </c>
      <c r="H411">
        <v>250000</v>
      </c>
      <c r="I411">
        <v>0.27</v>
      </c>
      <c r="J411">
        <v>0.45</v>
      </c>
      <c r="K411">
        <v>0.59</v>
      </c>
      <c r="L411">
        <v>0.71</v>
      </c>
      <c r="M411" t="s">
        <v>98</v>
      </c>
      <c r="N411" t="s">
        <v>329</v>
      </c>
      <c r="O411">
        <v>0.16</v>
      </c>
      <c r="P411">
        <v>0.25</v>
      </c>
      <c r="S411">
        <v>0.06</v>
      </c>
      <c r="T411">
        <v>0.09</v>
      </c>
      <c r="U411" t="s">
        <v>375</v>
      </c>
      <c r="V411" t="s">
        <v>378</v>
      </c>
    </row>
    <row r="412" spans="1:22" x14ac:dyDescent="0.25">
      <c r="A412" t="s">
        <v>328</v>
      </c>
      <c r="B412" t="s">
        <v>172</v>
      </c>
      <c r="C412" t="s">
        <v>94</v>
      </c>
      <c r="D412" t="s">
        <v>100</v>
      </c>
      <c r="E412" t="s">
        <v>262</v>
      </c>
      <c r="F412">
        <v>250000</v>
      </c>
      <c r="G412" t="s">
        <v>102</v>
      </c>
      <c r="H412">
        <v>400000</v>
      </c>
      <c r="I412">
        <v>0.33</v>
      </c>
      <c r="J412">
        <v>0.47</v>
      </c>
      <c r="K412">
        <v>0.66</v>
      </c>
      <c r="L412">
        <v>0.77</v>
      </c>
      <c r="M412" t="s">
        <v>98</v>
      </c>
      <c r="N412" t="s">
        <v>329</v>
      </c>
      <c r="O412">
        <v>0.14000000000000001</v>
      </c>
      <c r="P412">
        <v>0.23</v>
      </c>
      <c r="S412">
        <v>0.04</v>
      </c>
      <c r="T412">
        <v>7.0000000000000007E-2</v>
      </c>
      <c r="U412" t="s">
        <v>375</v>
      </c>
      <c r="V412" t="s">
        <v>378</v>
      </c>
    </row>
    <row r="413" spans="1:22" x14ac:dyDescent="0.25">
      <c r="A413" t="s">
        <v>328</v>
      </c>
      <c r="B413" t="s">
        <v>172</v>
      </c>
      <c r="C413" t="s">
        <v>94</v>
      </c>
      <c r="D413" t="s">
        <v>104</v>
      </c>
      <c r="E413" t="s">
        <v>114</v>
      </c>
      <c r="F413">
        <v>400000</v>
      </c>
      <c r="G413" t="s">
        <v>102</v>
      </c>
      <c r="I413">
        <v>0.38</v>
      </c>
      <c r="J413">
        <v>0.49</v>
      </c>
      <c r="K413">
        <v>0.75</v>
      </c>
      <c r="L413">
        <v>0.85</v>
      </c>
      <c r="M413" t="s">
        <v>98</v>
      </c>
      <c r="N413" t="s">
        <v>329</v>
      </c>
      <c r="O413">
        <v>0.16</v>
      </c>
      <c r="P413">
        <v>0.26</v>
      </c>
      <c r="S413">
        <v>0.03</v>
      </c>
      <c r="T413">
        <v>0.05</v>
      </c>
      <c r="U413" t="s">
        <v>375</v>
      </c>
      <c r="V413" t="s">
        <v>378</v>
      </c>
    </row>
    <row r="414" spans="1:22" x14ac:dyDescent="0.25">
      <c r="A414" t="s">
        <v>328</v>
      </c>
      <c r="B414" t="s">
        <v>173</v>
      </c>
      <c r="C414" t="s">
        <v>116</v>
      </c>
      <c r="D414" t="s">
        <v>95</v>
      </c>
      <c r="E414" t="s">
        <v>143</v>
      </c>
      <c r="F414">
        <v>65000</v>
      </c>
      <c r="G414" t="s">
        <v>97</v>
      </c>
      <c r="H414">
        <v>250000</v>
      </c>
      <c r="I414">
        <v>0.43</v>
      </c>
      <c r="J414">
        <v>0.49</v>
      </c>
      <c r="K414">
        <v>0.79</v>
      </c>
      <c r="L414">
        <v>0.86</v>
      </c>
      <c r="M414" t="s">
        <v>98</v>
      </c>
      <c r="N414" t="s">
        <v>329</v>
      </c>
      <c r="Q414">
        <v>0.12</v>
      </c>
      <c r="R414">
        <v>0.17</v>
      </c>
      <c r="S414">
        <v>0.02</v>
      </c>
      <c r="T414">
        <v>0.03</v>
      </c>
      <c r="U414" t="s">
        <v>335</v>
      </c>
      <c r="V414" t="s">
        <v>379</v>
      </c>
    </row>
    <row r="415" spans="1:22" x14ac:dyDescent="0.25">
      <c r="A415" t="s">
        <v>328</v>
      </c>
      <c r="B415" t="s">
        <v>173</v>
      </c>
      <c r="C415" t="s">
        <v>116</v>
      </c>
      <c r="D415" t="s">
        <v>100</v>
      </c>
      <c r="E415" t="s">
        <v>212</v>
      </c>
      <c r="F415">
        <v>250000</v>
      </c>
      <c r="G415" t="s">
        <v>102</v>
      </c>
      <c r="H415">
        <v>500000</v>
      </c>
      <c r="I415">
        <v>0.45</v>
      </c>
      <c r="J415">
        <v>0.51</v>
      </c>
      <c r="K415">
        <v>0.8</v>
      </c>
      <c r="L415">
        <v>0.89</v>
      </c>
      <c r="M415" t="s">
        <v>98</v>
      </c>
      <c r="N415" t="s">
        <v>329</v>
      </c>
      <c r="Q415">
        <v>0.09</v>
      </c>
      <c r="R415">
        <v>0.13</v>
      </c>
      <c r="S415">
        <v>0.01</v>
      </c>
      <c r="T415">
        <v>0.02</v>
      </c>
      <c r="U415" t="s">
        <v>335</v>
      </c>
      <c r="V415" t="s">
        <v>379</v>
      </c>
    </row>
    <row r="416" spans="1:22" x14ac:dyDescent="0.25">
      <c r="A416" t="s">
        <v>328</v>
      </c>
      <c r="B416" t="s">
        <v>173</v>
      </c>
      <c r="C416" t="s">
        <v>116</v>
      </c>
      <c r="D416" t="s">
        <v>104</v>
      </c>
      <c r="E416" t="s">
        <v>141</v>
      </c>
      <c r="F416">
        <v>500000</v>
      </c>
      <c r="G416" t="s">
        <v>102</v>
      </c>
      <c r="I416">
        <v>0.44</v>
      </c>
      <c r="J416">
        <v>0.5</v>
      </c>
      <c r="K416">
        <v>0.81</v>
      </c>
      <c r="L416">
        <v>0.9</v>
      </c>
      <c r="M416" t="s">
        <v>98</v>
      </c>
      <c r="N416" t="s">
        <v>329</v>
      </c>
      <c r="Q416">
        <v>0.05</v>
      </c>
      <c r="R416">
        <v>0.09</v>
      </c>
      <c r="S416">
        <v>0.01</v>
      </c>
      <c r="T416">
        <v>0.01</v>
      </c>
      <c r="U416" t="s">
        <v>335</v>
      </c>
      <c r="V416" t="s">
        <v>379</v>
      </c>
    </row>
    <row r="417" spans="1:22" x14ac:dyDescent="0.25">
      <c r="A417" t="s">
        <v>328</v>
      </c>
      <c r="B417" t="s">
        <v>175</v>
      </c>
      <c r="C417" t="s">
        <v>116</v>
      </c>
      <c r="D417" t="s">
        <v>95</v>
      </c>
      <c r="E417" t="s">
        <v>147</v>
      </c>
      <c r="F417">
        <v>65000</v>
      </c>
      <c r="G417" t="s">
        <v>97</v>
      </c>
      <c r="H417">
        <v>500000</v>
      </c>
      <c r="I417">
        <v>0.57999999999999996</v>
      </c>
      <c r="J417">
        <v>0.69</v>
      </c>
      <c r="K417">
        <v>0.76</v>
      </c>
      <c r="L417">
        <v>0.88</v>
      </c>
      <c r="M417" t="s">
        <v>98</v>
      </c>
      <c r="N417" t="s">
        <v>329</v>
      </c>
      <c r="Q417">
        <v>0.06</v>
      </c>
      <c r="R417">
        <v>0.1</v>
      </c>
      <c r="S417">
        <v>0.03</v>
      </c>
      <c r="T417">
        <v>0.05</v>
      </c>
      <c r="U417" t="s">
        <v>335</v>
      </c>
      <c r="V417" t="s">
        <v>380</v>
      </c>
    </row>
    <row r="418" spans="1:22" x14ac:dyDescent="0.25">
      <c r="A418" t="s">
        <v>328</v>
      </c>
      <c r="B418" t="s">
        <v>175</v>
      </c>
      <c r="C418" t="s">
        <v>116</v>
      </c>
      <c r="D418" t="s">
        <v>100</v>
      </c>
      <c r="E418" t="s">
        <v>263</v>
      </c>
      <c r="F418">
        <v>500000</v>
      </c>
      <c r="G418" t="s">
        <v>102</v>
      </c>
      <c r="H418">
        <v>1000000</v>
      </c>
      <c r="I418">
        <v>0.56999999999999995</v>
      </c>
      <c r="J418">
        <v>0.67</v>
      </c>
      <c r="K418">
        <v>0.85</v>
      </c>
      <c r="L418">
        <v>0.92</v>
      </c>
      <c r="M418" t="s">
        <v>98</v>
      </c>
      <c r="N418" t="s">
        <v>329</v>
      </c>
      <c r="Q418">
        <v>0.06</v>
      </c>
      <c r="R418">
        <v>0.09</v>
      </c>
      <c r="S418">
        <v>0.01</v>
      </c>
      <c r="T418">
        <v>0.02</v>
      </c>
      <c r="U418" t="s">
        <v>335</v>
      </c>
      <c r="V418" t="s">
        <v>380</v>
      </c>
    </row>
    <row r="419" spans="1:22" x14ac:dyDescent="0.25">
      <c r="A419" t="s">
        <v>328</v>
      </c>
      <c r="B419" t="s">
        <v>175</v>
      </c>
      <c r="C419" t="s">
        <v>116</v>
      </c>
      <c r="D419" t="s">
        <v>104</v>
      </c>
      <c r="E419" t="s">
        <v>264</v>
      </c>
      <c r="F419">
        <v>1000000</v>
      </c>
      <c r="G419" t="s">
        <v>102</v>
      </c>
      <c r="I419">
        <v>0.63</v>
      </c>
      <c r="J419">
        <v>0.73</v>
      </c>
      <c r="K419">
        <v>0.9</v>
      </c>
      <c r="L419">
        <v>0.94</v>
      </c>
      <c r="M419" t="s">
        <v>98</v>
      </c>
      <c r="N419" t="s">
        <v>329</v>
      </c>
      <c r="Q419">
        <v>0.04</v>
      </c>
      <c r="R419">
        <v>7.0000000000000007E-2</v>
      </c>
      <c r="S419">
        <v>0.01</v>
      </c>
      <c r="T419">
        <v>0.01</v>
      </c>
      <c r="U419" t="s">
        <v>335</v>
      </c>
      <c r="V419" t="s">
        <v>380</v>
      </c>
    </row>
    <row r="420" spans="1:22" x14ac:dyDescent="0.25">
      <c r="A420" t="s">
        <v>328</v>
      </c>
      <c r="B420" t="s">
        <v>177</v>
      </c>
      <c r="C420" t="s">
        <v>116</v>
      </c>
      <c r="D420" t="s">
        <v>95</v>
      </c>
      <c r="E420" t="s">
        <v>265</v>
      </c>
      <c r="F420">
        <v>65000</v>
      </c>
      <c r="G420" t="s">
        <v>97</v>
      </c>
      <c r="H420">
        <v>800000</v>
      </c>
      <c r="I420">
        <v>0.35</v>
      </c>
      <c r="J420">
        <v>0.54</v>
      </c>
      <c r="K420">
        <v>0.66</v>
      </c>
      <c r="L420">
        <v>0.83</v>
      </c>
      <c r="M420" t="s">
        <v>98</v>
      </c>
      <c r="N420" t="s">
        <v>329</v>
      </c>
      <c r="Q420">
        <v>0.06</v>
      </c>
      <c r="R420">
        <v>0.11</v>
      </c>
      <c r="S420">
        <v>0.03</v>
      </c>
      <c r="T420">
        <v>0.06</v>
      </c>
      <c r="U420" t="s">
        <v>335</v>
      </c>
      <c r="V420" t="s">
        <v>381</v>
      </c>
    </row>
    <row r="421" spans="1:22" x14ac:dyDescent="0.25">
      <c r="A421" t="s">
        <v>328</v>
      </c>
      <c r="B421" t="s">
        <v>177</v>
      </c>
      <c r="C421" t="s">
        <v>116</v>
      </c>
      <c r="D421" t="s">
        <v>100</v>
      </c>
      <c r="E421" t="s">
        <v>266</v>
      </c>
      <c r="F421">
        <v>800000</v>
      </c>
      <c r="G421" t="s">
        <v>102</v>
      </c>
      <c r="H421">
        <v>2000000</v>
      </c>
      <c r="I421">
        <v>0.48</v>
      </c>
      <c r="J421">
        <v>0.6</v>
      </c>
      <c r="K421">
        <v>0.85</v>
      </c>
      <c r="L421">
        <v>0.93</v>
      </c>
      <c r="M421" t="s">
        <v>98</v>
      </c>
      <c r="N421" t="s">
        <v>329</v>
      </c>
      <c r="Q421">
        <v>0.05</v>
      </c>
      <c r="R421">
        <v>7.0000000000000007E-2</v>
      </c>
      <c r="S421">
        <v>0.01</v>
      </c>
      <c r="T421">
        <v>0.02</v>
      </c>
      <c r="U421" t="s">
        <v>335</v>
      </c>
      <c r="V421" t="s">
        <v>381</v>
      </c>
    </row>
    <row r="422" spans="1:22" x14ac:dyDescent="0.25">
      <c r="A422" t="s">
        <v>328</v>
      </c>
      <c r="B422" t="s">
        <v>177</v>
      </c>
      <c r="C422" t="s">
        <v>116</v>
      </c>
      <c r="D422" t="s">
        <v>104</v>
      </c>
      <c r="E422" t="s">
        <v>151</v>
      </c>
      <c r="F422">
        <v>2000000</v>
      </c>
      <c r="G422" t="s">
        <v>102</v>
      </c>
      <c r="I422">
        <v>0.51</v>
      </c>
      <c r="J422">
        <v>0.64</v>
      </c>
      <c r="K422">
        <v>0.88</v>
      </c>
      <c r="L422">
        <v>0.93</v>
      </c>
      <c r="M422" t="s">
        <v>98</v>
      </c>
      <c r="N422" t="s">
        <v>329</v>
      </c>
      <c r="Q422">
        <v>0.03</v>
      </c>
      <c r="R422">
        <v>0.05</v>
      </c>
      <c r="S422">
        <v>0.01</v>
      </c>
      <c r="T422">
        <v>0.01</v>
      </c>
      <c r="U422" t="s">
        <v>335</v>
      </c>
      <c r="V422" t="s">
        <v>381</v>
      </c>
    </row>
    <row r="423" spans="1:22" x14ac:dyDescent="0.25">
      <c r="A423" t="s">
        <v>328</v>
      </c>
      <c r="B423" t="s">
        <v>179</v>
      </c>
      <c r="C423" t="s">
        <v>116</v>
      </c>
      <c r="D423" t="s">
        <v>95</v>
      </c>
      <c r="E423" t="s">
        <v>164</v>
      </c>
      <c r="F423">
        <v>65000</v>
      </c>
      <c r="G423" t="s">
        <v>97</v>
      </c>
      <c r="H423">
        <v>300000</v>
      </c>
      <c r="I423">
        <v>0.4</v>
      </c>
      <c r="J423">
        <v>0.51</v>
      </c>
      <c r="K423">
        <v>0.68</v>
      </c>
      <c r="L423">
        <v>0.82</v>
      </c>
      <c r="M423" t="s">
        <v>98</v>
      </c>
      <c r="N423" t="s">
        <v>329</v>
      </c>
      <c r="O423">
        <v>0.13</v>
      </c>
      <c r="P423">
        <v>0.23</v>
      </c>
      <c r="Q423">
        <v>0.08</v>
      </c>
      <c r="R423">
        <v>0.14000000000000001</v>
      </c>
      <c r="S423">
        <v>0.03</v>
      </c>
      <c r="T423">
        <v>0.05</v>
      </c>
      <c r="U423" t="s">
        <v>338</v>
      </c>
      <c r="V423" t="s">
        <v>382</v>
      </c>
    </row>
    <row r="424" spans="1:22" x14ac:dyDescent="0.25">
      <c r="A424" t="s">
        <v>328</v>
      </c>
      <c r="B424" t="s">
        <v>179</v>
      </c>
      <c r="C424" t="s">
        <v>116</v>
      </c>
      <c r="D424" t="s">
        <v>100</v>
      </c>
      <c r="E424" t="s">
        <v>166</v>
      </c>
      <c r="F424">
        <v>300000</v>
      </c>
      <c r="G424" t="s">
        <v>102</v>
      </c>
      <c r="H424">
        <v>600000</v>
      </c>
      <c r="I424">
        <v>0.43</v>
      </c>
      <c r="J424">
        <v>0.5</v>
      </c>
      <c r="K424">
        <v>0.78</v>
      </c>
      <c r="L424">
        <v>0.88</v>
      </c>
      <c r="M424" t="s">
        <v>98</v>
      </c>
      <c r="N424" t="s">
        <v>329</v>
      </c>
      <c r="O424">
        <v>0.14000000000000001</v>
      </c>
      <c r="P424">
        <v>0.22</v>
      </c>
      <c r="Q424">
        <v>7.0000000000000007E-2</v>
      </c>
      <c r="R424">
        <v>0.11</v>
      </c>
      <c r="S424">
        <v>0.02</v>
      </c>
      <c r="T424">
        <v>0.03</v>
      </c>
      <c r="U424" t="s">
        <v>338</v>
      </c>
      <c r="V424" t="s">
        <v>382</v>
      </c>
    </row>
    <row r="425" spans="1:22" x14ac:dyDescent="0.25">
      <c r="A425" t="s">
        <v>328</v>
      </c>
      <c r="B425" t="s">
        <v>179</v>
      </c>
      <c r="C425" t="s">
        <v>116</v>
      </c>
      <c r="D425" t="s">
        <v>104</v>
      </c>
      <c r="E425" t="s">
        <v>105</v>
      </c>
      <c r="F425">
        <v>600000</v>
      </c>
      <c r="G425" t="s">
        <v>102</v>
      </c>
      <c r="I425">
        <v>0.45</v>
      </c>
      <c r="J425">
        <v>0.53</v>
      </c>
      <c r="K425">
        <v>0.83</v>
      </c>
      <c r="L425">
        <v>0.91</v>
      </c>
      <c r="M425" t="s">
        <v>98</v>
      </c>
      <c r="N425" t="s">
        <v>329</v>
      </c>
      <c r="O425">
        <v>0.16</v>
      </c>
      <c r="P425">
        <v>0.23</v>
      </c>
      <c r="Q425">
        <v>0.04</v>
      </c>
      <c r="R425">
        <v>0.08</v>
      </c>
      <c r="S425">
        <v>0.01</v>
      </c>
      <c r="T425">
        <v>0.02</v>
      </c>
      <c r="U425" t="s">
        <v>338</v>
      </c>
      <c r="V425" t="s">
        <v>382</v>
      </c>
    </row>
    <row r="426" spans="1:22" x14ac:dyDescent="0.25">
      <c r="A426" t="s">
        <v>328</v>
      </c>
      <c r="B426" t="s">
        <v>181</v>
      </c>
      <c r="C426" t="s">
        <v>116</v>
      </c>
      <c r="D426" t="s">
        <v>95</v>
      </c>
      <c r="E426" t="s">
        <v>267</v>
      </c>
      <c r="F426">
        <v>65000</v>
      </c>
      <c r="G426" t="s">
        <v>97</v>
      </c>
      <c r="H426">
        <v>180000</v>
      </c>
      <c r="I426">
        <v>0.4</v>
      </c>
      <c r="J426">
        <v>0.59</v>
      </c>
      <c r="K426">
        <v>0.66</v>
      </c>
      <c r="L426">
        <v>0.82</v>
      </c>
      <c r="M426" t="s">
        <v>98</v>
      </c>
      <c r="N426" t="s">
        <v>329</v>
      </c>
      <c r="Q426">
        <v>0.11</v>
      </c>
      <c r="R426">
        <v>0.19</v>
      </c>
      <c r="S426">
        <v>0.03</v>
      </c>
      <c r="T426">
        <v>0.05</v>
      </c>
      <c r="U426" t="s">
        <v>335</v>
      </c>
      <c r="V426" t="s">
        <v>383</v>
      </c>
    </row>
    <row r="427" spans="1:22" x14ac:dyDescent="0.25">
      <c r="A427" t="s">
        <v>328</v>
      </c>
      <c r="B427" t="s">
        <v>181</v>
      </c>
      <c r="C427" t="s">
        <v>116</v>
      </c>
      <c r="D427" t="s">
        <v>100</v>
      </c>
      <c r="E427" t="s">
        <v>268</v>
      </c>
      <c r="F427">
        <v>180000</v>
      </c>
      <c r="G427" t="s">
        <v>102</v>
      </c>
      <c r="H427">
        <v>600000</v>
      </c>
      <c r="I427">
        <v>0.51</v>
      </c>
      <c r="J427">
        <v>0.59</v>
      </c>
      <c r="K427">
        <v>0.78</v>
      </c>
      <c r="L427">
        <v>0.87</v>
      </c>
      <c r="M427" t="s">
        <v>98</v>
      </c>
      <c r="N427" t="s">
        <v>329</v>
      </c>
      <c r="Q427">
        <v>0.08</v>
      </c>
      <c r="R427">
        <v>0.14000000000000001</v>
      </c>
      <c r="S427">
        <v>0.02</v>
      </c>
      <c r="T427">
        <v>0.03</v>
      </c>
      <c r="U427" t="s">
        <v>335</v>
      </c>
      <c r="V427" t="s">
        <v>383</v>
      </c>
    </row>
    <row r="428" spans="1:22" x14ac:dyDescent="0.25">
      <c r="A428" t="s">
        <v>328</v>
      </c>
      <c r="B428" t="s">
        <v>181</v>
      </c>
      <c r="C428" t="s">
        <v>116</v>
      </c>
      <c r="D428" t="s">
        <v>104</v>
      </c>
      <c r="E428" t="s">
        <v>105</v>
      </c>
      <c r="F428">
        <v>600000</v>
      </c>
      <c r="G428" t="s">
        <v>102</v>
      </c>
      <c r="I428">
        <v>0.48</v>
      </c>
      <c r="J428">
        <v>0.56000000000000005</v>
      </c>
      <c r="K428">
        <v>0.84</v>
      </c>
      <c r="L428">
        <v>0.91</v>
      </c>
      <c r="M428" t="s">
        <v>98</v>
      </c>
      <c r="N428" t="s">
        <v>329</v>
      </c>
      <c r="Q428">
        <v>0.06</v>
      </c>
      <c r="R428">
        <v>0.1</v>
      </c>
      <c r="S428">
        <v>0</v>
      </c>
      <c r="T428">
        <v>0.01</v>
      </c>
      <c r="U428" t="s">
        <v>335</v>
      </c>
      <c r="V428" t="s">
        <v>383</v>
      </c>
    </row>
    <row r="429" spans="1:22" x14ac:dyDescent="0.25">
      <c r="A429" t="s">
        <v>328</v>
      </c>
      <c r="B429" t="s">
        <v>183</v>
      </c>
      <c r="C429" t="s">
        <v>116</v>
      </c>
      <c r="D429" t="s">
        <v>95</v>
      </c>
      <c r="E429" t="s">
        <v>269</v>
      </c>
      <c r="F429">
        <v>65000</v>
      </c>
      <c r="G429" t="s">
        <v>97</v>
      </c>
      <c r="H429">
        <v>450000</v>
      </c>
      <c r="I429">
        <v>0.57999999999999996</v>
      </c>
      <c r="J429">
        <v>0.71</v>
      </c>
      <c r="K429">
        <v>0.78</v>
      </c>
      <c r="L429">
        <v>0.88</v>
      </c>
      <c r="M429" t="s">
        <v>98</v>
      </c>
      <c r="N429" t="s">
        <v>329</v>
      </c>
      <c r="O429">
        <v>0.11</v>
      </c>
      <c r="P429">
        <v>0.18</v>
      </c>
      <c r="Q429">
        <v>0.06</v>
      </c>
      <c r="R429">
        <v>0.11</v>
      </c>
      <c r="S429">
        <v>0.03</v>
      </c>
      <c r="T429">
        <v>0.05</v>
      </c>
      <c r="U429" t="s">
        <v>338</v>
      </c>
      <c r="V429" t="s">
        <v>384</v>
      </c>
    </row>
    <row r="430" spans="1:22" x14ac:dyDescent="0.25">
      <c r="A430" t="s">
        <v>328</v>
      </c>
      <c r="B430" t="s">
        <v>183</v>
      </c>
      <c r="C430" t="s">
        <v>116</v>
      </c>
      <c r="D430" t="s">
        <v>100</v>
      </c>
      <c r="E430" t="s">
        <v>270</v>
      </c>
      <c r="F430">
        <v>450000</v>
      </c>
      <c r="G430" t="s">
        <v>102</v>
      </c>
      <c r="H430">
        <v>1100000</v>
      </c>
      <c r="I430">
        <v>0.65</v>
      </c>
      <c r="J430">
        <v>0.73</v>
      </c>
      <c r="K430">
        <v>0.87</v>
      </c>
      <c r="L430">
        <v>0.92</v>
      </c>
      <c r="M430" t="s">
        <v>98</v>
      </c>
      <c r="N430" t="s">
        <v>329</v>
      </c>
      <c r="O430">
        <v>0.08</v>
      </c>
      <c r="P430">
        <v>0.13</v>
      </c>
      <c r="Q430">
        <v>0.05</v>
      </c>
      <c r="R430">
        <v>0.09</v>
      </c>
      <c r="S430">
        <v>0.02</v>
      </c>
      <c r="T430">
        <v>0.03</v>
      </c>
      <c r="U430" t="s">
        <v>338</v>
      </c>
      <c r="V430" t="s">
        <v>384</v>
      </c>
    </row>
    <row r="431" spans="1:22" x14ac:dyDescent="0.25">
      <c r="A431" t="s">
        <v>328</v>
      </c>
      <c r="B431" t="s">
        <v>183</v>
      </c>
      <c r="C431" t="s">
        <v>116</v>
      </c>
      <c r="D431" t="s">
        <v>104</v>
      </c>
      <c r="E431" t="s">
        <v>271</v>
      </c>
      <c r="F431">
        <v>1100000</v>
      </c>
      <c r="G431" t="s">
        <v>102</v>
      </c>
      <c r="I431">
        <v>0.69</v>
      </c>
      <c r="J431">
        <v>0.76</v>
      </c>
      <c r="K431">
        <v>0.92</v>
      </c>
      <c r="L431">
        <v>0.96</v>
      </c>
      <c r="M431" t="s">
        <v>98</v>
      </c>
      <c r="N431" t="s">
        <v>329</v>
      </c>
      <c r="O431">
        <v>0.08</v>
      </c>
      <c r="P431">
        <v>0.13</v>
      </c>
      <c r="Q431">
        <v>0.04</v>
      </c>
      <c r="R431">
        <v>0.06</v>
      </c>
      <c r="S431">
        <v>0.01</v>
      </c>
      <c r="T431">
        <v>0.01</v>
      </c>
      <c r="U431" t="s">
        <v>338</v>
      </c>
      <c r="V431" t="s">
        <v>384</v>
      </c>
    </row>
    <row r="432" spans="1:22" x14ac:dyDescent="0.25">
      <c r="A432" t="s">
        <v>328</v>
      </c>
      <c r="B432" t="s">
        <v>184</v>
      </c>
      <c r="C432" t="s">
        <v>116</v>
      </c>
      <c r="D432" t="s">
        <v>95</v>
      </c>
      <c r="E432" t="s">
        <v>272</v>
      </c>
      <c r="F432">
        <v>75000</v>
      </c>
      <c r="G432" t="s">
        <v>97</v>
      </c>
      <c r="H432">
        <v>500000</v>
      </c>
      <c r="I432">
        <v>0.65</v>
      </c>
      <c r="J432">
        <v>0.79</v>
      </c>
      <c r="K432">
        <v>0.79</v>
      </c>
      <c r="L432">
        <v>0.91</v>
      </c>
      <c r="M432" t="s">
        <v>98</v>
      </c>
      <c r="N432" t="s">
        <v>329</v>
      </c>
      <c r="S432">
        <v>0.01</v>
      </c>
      <c r="T432">
        <v>0.03</v>
      </c>
      <c r="U432" t="s">
        <v>343</v>
      </c>
      <c r="V432" t="s">
        <v>385</v>
      </c>
    </row>
    <row r="433" spans="1:22" x14ac:dyDescent="0.25">
      <c r="A433" t="s">
        <v>328</v>
      </c>
      <c r="B433" t="s">
        <v>184</v>
      </c>
      <c r="C433" t="s">
        <v>116</v>
      </c>
      <c r="D433" t="s">
        <v>100</v>
      </c>
      <c r="E433" t="s">
        <v>149</v>
      </c>
      <c r="F433">
        <v>500000</v>
      </c>
      <c r="G433" t="s">
        <v>102</v>
      </c>
      <c r="H433">
        <v>2000000</v>
      </c>
      <c r="I433">
        <v>0.67</v>
      </c>
      <c r="J433">
        <v>0.81</v>
      </c>
      <c r="K433">
        <v>0.91</v>
      </c>
      <c r="L433">
        <v>0.96</v>
      </c>
      <c r="M433" t="s">
        <v>98</v>
      </c>
      <c r="N433" t="s">
        <v>329</v>
      </c>
      <c r="S433">
        <v>0</v>
      </c>
      <c r="T433">
        <v>0.01</v>
      </c>
      <c r="U433" t="s">
        <v>343</v>
      </c>
      <c r="V433" t="s">
        <v>385</v>
      </c>
    </row>
    <row r="434" spans="1:22" x14ac:dyDescent="0.25">
      <c r="A434" t="s">
        <v>328</v>
      </c>
      <c r="B434" t="s">
        <v>184</v>
      </c>
      <c r="C434" t="s">
        <v>116</v>
      </c>
      <c r="D434" t="s">
        <v>104</v>
      </c>
      <c r="E434" t="s">
        <v>151</v>
      </c>
      <c r="F434">
        <v>2000000</v>
      </c>
      <c r="G434" t="s">
        <v>102</v>
      </c>
      <c r="I434">
        <v>0.79</v>
      </c>
      <c r="J434">
        <v>0.88</v>
      </c>
      <c r="K434">
        <v>0.96</v>
      </c>
      <c r="L434">
        <v>0.98</v>
      </c>
      <c r="M434" t="s">
        <v>98</v>
      </c>
      <c r="N434" t="s">
        <v>329</v>
      </c>
      <c r="S434">
        <v>0</v>
      </c>
      <c r="T434">
        <v>0</v>
      </c>
      <c r="U434" t="s">
        <v>343</v>
      </c>
      <c r="V434" t="s">
        <v>385</v>
      </c>
    </row>
    <row r="435" spans="1:22" x14ac:dyDescent="0.25">
      <c r="A435" t="s">
        <v>328</v>
      </c>
      <c r="B435" t="s">
        <v>185</v>
      </c>
      <c r="C435" t="s">
        <v>94</v>
      </c>
      <c r="D435" t="s">
        <v>95</v>
      </c>
      <c r="E435" t="s">
        <v>273</v>
      </c>
      <c r="F435">
        <v>50000</v>
      </c>
      <c r="G435" t="s">
        <v>97</v>
      </c>
      <c r="H435">
        <v>125000</v>
      </c>
      <c r="K435">
        <v>0.43</v>
      </c>
      <c r="L435">
        <v>0.65</v>
      </c>
      <c r="M435" t="s">
        <v>98</v>
      </c>
      <c r="N435" t="s">
        <v>329</v>
      </c>
      <c r="S435">
        <v>0.12</v>
      </c>
      <c r="T435">
        <v>0.2</v>
      </c>
      <c r="U435" t="s">
        <v>343</v>
      </c>
      <c r="V435" t="s">
        <v>386</v>
      </c>
    </row>
    <row r="436" spans="1:22" x14ac:dyDescent="0.25">
      <c r="A436" t="s">
        <v>328</v>
      </c>
      <c r="B436" t="s">
        <v>185</v>
      </c>
      <c r="C436" t="s">
        <v>94</v>
      </c>
      <c r="D436" t="s">
        <v>100</v>
      </c>
      <c r="E436" t="s">
        <v>274</v>
      </c>
      <c r="F436">
        <v>125000</v>
      </c>
      <c r="G436" t="s">
        <v>102</v>
      </c>
      <c r="H436">
        <v>525000</v>
      </c>
      <c r="K436">
        <v>0.6</v>
      </c>
      <c r="L436">
        <v>0.79</v>
      </c>
      <c r="M436" t="s">
        <v>98</v>
      </c>
      <c r="N436" t="s">
        <v>329</v>
      </c>
      <c r="S436">
        <v>0.09</v>
      </c>
      <c r="T436">
        <v>0.16</v>
      </c>
      <c r="U436" t="s">
        <v>343</v>
      </c>
      <c r="V436" t="s">
        <v>386</v>
      </c>
    </row>
    <row r="437" spans="1:22" x14ac:dyDescent="0.25">
      <c r="A437" t="s">
        <v>328</v>
      </c>
      <c r="B437" t="s">
        <v>185</v>
      </c>
      <c r="C437" t="s">
        <v>94</v>
      </c>
      <c r="D437" t="s">
        <v>104</v>
      </c>
      <c r="E437" t="s">
        <v>275</v>
      </c>
      <c r="F437">
        <v>525000</v>
      </c>
      <c r="G437" t="s">
        <v>102</v>
      </c>
      <c r="K437">
        <v>0.78</v>
      </c>
      <c r="L437">
        <v>0.89</v>
      </c>
      <c r="M437" t="s">
        <v>98</v>
      </c>
      <c r="N437" t="s">
        <v>329</v>
      </c>
      <c r="S437">
        <v>0.06</v>
      </c>
      <c r="T437">
        <v>0.12</v>
      </c>
      <c r="U437" t="s">
        <v>343</v>
      </c>
      <c r="V437" t="s">
        <v>386</v>
      </c>
    </row>
    <row r="438" spans="1:22" x14ac:dyDescent="0.25">
      <c r="A438" t="s">
        <v>328</v>
      </c>
      <c r="B438" t="s">
        <v>187</v>
      </c>
      <c r="C438" t="s">
        <v>116</v>
      </c>
      <c r="D438" t="s">
        <v>95</v>
      </c>
      <c r="E438" t="s">
        <v>147</v>
      </c>
      <c r="F438">
        <v>65000</v>
      </c>
      <c r="G438" t="s">
        <v>97</v>
      </c>
      <c r="H438">
        <v>500000</v>
      </c>
      <c r="I438">
        <v>0.42</v>
      </c>
      <c r="J438">
        <v>0.55000000000000004</v>
      </c>
      <c r="K438">
        <v>0.73</v>
      </c>
      <c r="L438">
        <v>0.86</v>
      </c>
      <c r="M438" t="s">
        <v>98</v>
      </c>
      <c r="N438" t="s">
        <v>329</v>
      </c>
      <c r="O438">
        <v>0.12</v>
      </c>
      <c r="P438">
        <v>0.2</v>
      </c>
      <c r="Q438">
        <v>0.11</v>
      </c>
      <c r="R438">
        <v>0.19</v>
      </c>
      <c r="S438">
        <v>0.03</v>
      </c>
      <c r="T438">
        <v>0.05</v>
      </c>
      <c r="U438" t="s">
        <v>338</v>
      </c>
      <c r="V438" t="s">
        <v>387</v>
      </c>
    </row>
    <row r="439" spans="1:22" x14ac:dyDescent="0.25">
      <c r="A439" t="s">
        <v>328</v>
      </c>
      <c r="B439" t="s">
        <v>187</v>
      </c>
      <c r="C439" t="s">
        <v>116</v>
      </c>
      <c r="D439" t="s">
        <v>100</v>
      </c>
      <c r="E439" t="s">
        <v>263</v>
      </c>
      <c r="F439">
        <v>500000</v>
      </c>
      <c r="G439" t="s">
        <v>102</v>
      </c>
      <c r="H439">
        <v>1000000</v>
      </c>
      <c r="I439">
        <v>0.47</v>
      </c>
      <c r="J439">
        <v>0.56999999999999995</v>
      </c>
      <c r="K439">
        <v>0.81</v>
      </c>
      <c r="L439">
        <v>0.91</v>
      </c>
      <c r="M439" t="s">
        <v>98</v>
      </c>
      <c r="N439" t="s">
        <v>329</v>
      </c>
      <c r="O439">
        <v>0.1</v>
      </c>
      <c r="P439">
        <v>0.17</v>
      </c>
      <c r="Q439">
        <v>0.08</v>
      </c>
      <c r="R439">
        <v>0.14000000000000001</v>
      </c>
      <c r="S439">
        <v>0.01</v>
      </c>
      <c r="T439">
        <v>0.02</v>
      </c>
      <c r="U439" t="s">
        <v>338</v>
      </c>
      <c r="V439" t="s">
        <v>387</v>
      </c>
    </row>
    <row r="440" spans="1:22" x14ac:dyDescent="0.25">
      <c r="A440" t="s">
        <v>328</v>
      </c>
      <c r="B440" t="s">
        <v>187</v>
      </c>
      <c r="C440" t="s">
        <v>116</v>
      </c>
      <c r="D440" t="s">
        <v>104</v>
      </c>
      <c r="E440" t="s">
        <v>264</v>
      </c>
      <c r="F440">
        <v>1000000</v>
      </c>
      <c r="G440" t="s">
        <v>102</v>
      </c>
      <c r="I440">
        <v>0.52</v>
      </c>
      <c r="J440">
        <v>0.57999999999999996</v>
      </c>
      <c r="K440">
        <v>0.87</v>
      </c>
      <c r="L440">
        <v>0.95</v>
      </c>
      <c r="M440" t="s">
        <v>98</v>
      </c>
      <c r="N440" t="s">
        <v>329</v>
      </c>
      <c r="O440">
        <v>0.1</v>
      </c>
      <c r="P440">
        <v>0.14000000000000001</v>
      </c>
      <c r="Q440">
        <v>7.0000000000000007E-2</v>
      </c>
      <c r="R440">
        <v>0.11</v>
      </c>
      <c r="S440">
        <v>0.01</v>
      </c>
      <c r="T440">
        <v>0.01</v>
      </c>
      <c r="U440" t="s">
        <v>338</v>
      </c>
      <c r="V440" t="s">
        <v>387</v>
      </c>
    </row>
    <row r="441" spans="1:22" x14ac:dyDescent="0.25">
      <c r="A441" t="s">
        <v>328</v>
      </c>
      <c r="B441" t="s">
        <v>188</v>
      </c>
      <c r="C441" t="s">
        <v>116</v>
      </c>
      <c r="D441" t="s">
        <v>95</v>
      </c>
      <c r="E441" t="s">
        <v>143</v>
      </c>
      <c r="F441">
        <v>65000</v>
      </c>
      <c r="G441" t="s">
        <v>97</v>
      </c>
      <c r="H441">
        <v>250000</v>
      </c>
      <c r="I441">
        <v>0.34</v>
      </c>
      <c r="J441">
        <v>0.5</v>
      </c>
      <c r="K441">
        <v>0.67</v>
      </c>
      <c r="L441">
        <v>0.83</v>
      </c>
      <c r="M441" t="s">
        <v>98</v>
      </c>
      <c r="N441" t="s">
        <v>329</v>
      </c>
      <c r="Q441">
        <v>0.08</v>
      </c>
      <c r="R441">
        <v>0.14000000000000001</v>
      </c>
      <c r="S441">
        <v>0.04</v>
      </c>
      <c r="T441">
        <v>7.0000000000000007E-2</v>
      </c>
      <c r="U441" t="s">
        <v>335</v>
      </c>
      <c r="V441" t="s">
        <v>388</v>
      </c>
    </row>
    <row r="442" spans="1:22" x14ac:dyDescent="0.25">
      <c r="A442" t="s">
        <v>328</v>
      </c>
      <c r="B442" t="s">
        <v>188</v>
      </c>
      <c r="C442" t="s">
        <v>116</v>
      </c>
      <c r="D442" t="s">
        <v>100</v>
      </c>
      <c r="E442" t="s">
        <v>119</v>
      </c>
      <c r="F442">
        <v>250000</v>
      </c>
      <c r="G442" t="s">
        <v>102</v>
      </c>
      <c r="H442">
        <v>750000</v>
      </c>
      <c r="I442">
        <v>0.39</v>
      </c>
      <c r="J442">
        <v>0.53</v>
      </c>
      <c r="K442">
        <v>0.74</v>
      </c>
      <c r="L442">
        <v>0.88</v>
      </c>
      <c r="M442" t="s">
        <v>98</v>
      </c>
      <c r="N442" t="s">
        <v>329</v>
      </c>
      <c r="Q442">
        <v>0.05</v>
      </c>
      <c r="R442">
        <v>0.09</v>
      </c>
      <c r="S442">
        <v>0.02</v>
      </c>
      <c r="T442">
        <v>0.04</v>
      </c>
      <c r="U442" t="s">
        <v>335</v>
      </c>
      <c r="V442" t="s">
        <v>388</v>
      </c>
    </row>
    <row r="443" spans="1:22" x14ac:dyDescent="0.25">
      <c r="A443" t="s">
        <v>328</v>
      </c>
      <c r="B443" t="s">
        <v>188</v>
      </c>
      <c r="C443" t="s">
        <v>116</v>
      </c>
      <c r="D443" t="s">
        <v>104</v>
      </c>
      <c r="E443" t="s">
        <v>121</v>
      </c>
      <c r="F443">
        <v>750000</v>
      </c>
      <c r="G443" t="s">
        <v>102</v>
      </c>
      <c r="I443">
        <v>0.46</v>
      </c>
      <c r="J443">
        <v>0.56000000000000005</v>
      </c>
      <c r="K443">
        <v>0.84</v>
      </c>
      <c r="L443">
        <v>0.92</v>
      </c>
      <c r="M443" t="s">
        <v>98</v>
      </c>
      <c r="N443" t="s">
        <v>329</v>
      </c>
      <c r="Q443">
        <v>0.03</v>
      </c>
      <c r="R443">
        <v>0.06</v>
      </c>
      <c r="S443">
        <v>0.02</v>
      </c>
      <c r="T443">
        <v>0.04</v>
      </c>
      <c r="U443" t="s">
        <v>335</v>
      </c>
      <c r="V443" t="s">
        <v>388</v>
      </c>
    </row>
    <row r="444" spans="1:22" x14ac:dyDescent="0.25">
      <c r="A444" t="s">
        <v>328</v>
      </c>
      <c r="B444" t="s">
        <v>190</v>
      </c>
      <c r="C444" t="s">
        <v>116</v>
      </c>
      <c r="D444" t="s">
        <v>95</v>
      </c>
      <c r="E444" t="s">
        <v>128</v>
      </c>
      <c r="F444">
        <v>65000</v>
      </c>
      <c r="G444" t="s">
        <v>97</v>
      </c>
      <c r="H444">
        <v>150000</v>
      </c>
      <c r="I444">
        <v>0.44</v>
      </c>
      <c r="J444">
        <v>0.56000000000000005</v>
      </c>
      <c r="K444">
        <v>0.77</v>
      </c>
      <c r="L444">
        <v>0.85</v>
      </c>
      <c r="M444" t="s">
        <v>98</v>
      </c>
      <c r="N444" t="s">
        <v>329</v>
      </c>
      <c r="Q444">
        <v>0.13</v>
      </c>
      <c r="R444">
        <v>0.23</v>
      </c>
      <c r="S444">
        <v>0.03</v>
      </c>
      <c r="T444">
        <v>0.05</v>
      </c>
      <c r="U444" t="s">
        <v>335</v>
      </c>
      <c r="V444" t="s">
        <v>389</v>
      </c>
    </row>
    <row r="445" spans="1:22" x14ac:dyDescent="0.25">
      <c r="A445" t="s">
        <v>328</v>
      </c>
      <c r="B445" t="s">
        <v>190</v>
      </c>
      <c r="C445" t="s">
        <v>116</v>
      </c>
      <c r="D445" t="s">
        <v>100</v>
      </c>
      <c r="E445" t="s">
        <v>101</v>
      </c>
      <c r="F445">
        <v>150000</v>
      </c>
      <c r="G445" t="s">
        <v>102</v>
      </c>
      <c r="H445">
        <v>600000</v>
      </c>
      <c r="I445">
        <v>0.46</v>
      </c>
      <c r="J445">
        <v>0.55000000000000004</v>
      </c>
      <c r="K445">
        <v>0.79</v>
      </c>
      <c r="L445">
        <v>0.88</v>
      </c>
      <c r="M445" t="s">
        <v>98</v>
      </c>
      <c r="N445" t="s">
        <v>329</v>
      </c>
      <c r="Q445">
        <v>0.1</v>
      </c>
      <c r="R445">
        <v>0.18</v>
      </c>
      <c r="S445">
        <v>0.02</v>
      </c>
      <c r="T445">
        <v>0.03</v>
      </c>
      <c r="U445" t="s">
        <v>335</v>
      </c>
      <c r="V445" t="s">
        <v>389</v>
      </c>
    </row>
    <row r="446" spans="1:22" x14ac:dyDescent="0.25">
      <c r="A446" t="s">
        <v>328</v>
      </c>
      <c r="B446" t="s">
        <v>190</v>
      </c>
      <c r="C446" t="s">
        <v>116</v>
      </c>
      <c r="D446" t="s">
        <v>104</v>
      </c>
      <c r="E446" t="s">
        <v>105</v>
      </c>
      <c r="F446">
        <v>600000</v>
      </c>
      <c r="G446" t="s">
        <v>102</v>
      </c>
      <c r="I446">
        <v>0.48</v>
      </c>
      <c r="J446">
        <v>0.56000000000000005</v>
      </c>
      <c r="K446">
        <v>0.84</v>
      </c>
      <c r="L446">
        <v>0.92</v>
      </c>
      <c r="M446" t="s">
        <v>98</v>
      </c>
      <c r="N446" t="s">
        <v>329</v>
      </c>
      <c r="Q446">
        <v>7.0000000000000007E-2</v>
      </c>
      <c r="R446">
        <v>0.15</v>
      </c>
      <c r="S446">
        <v>0.01</v>
      </c>
      <c r="T446">
        <v>0.01</v>
      </c>
      <c r="U446" t="s">
        <v>335</v>
      </c>
      <c r="V446" t="s">
        <v>389</v>
      </c>
    </row>
    <row r="447" spans="1:22" x14ac:dyDescent="0.25">
      <c r="A447" t="s">
        <v>328</v>
      </c>
      <c r="B447" t="s">
        <v>192</v>
      </c>
      <c r="C447" t="s">
        <v>94</v>
      </c>
      <c r="D447" t="s">
        <v>95</v>
      </c>
      <c r="E447" t="s">
        <v>180</v>
      </c>
      <c r="F447">
        <v>50000</v>
      </c>
      <c r="G447" t="s">
        <v>97</v>
      </c>
      <c r="H447">
        <v>200000</v>
      </c>
      <c r="I447">
        <v>0.19</v>
      </c>
      <c r="J447">
        <v>0.36</v>
      </c>
      <c r="K447">
        <v>0.46</v>
      </c>
      <c r="L447">
        <v>0.65</v>
      </c>
      <c r="M447" t="s">
        <v>98</v>
      </c>
      <c r="N447" t="s">
        <v>329</v>
      </c>
      <c r="Q447">
        <v>0.04</v>
      </c>
      <c r="R447">
        <v>0.08</v>
      </c>
      <c r="S447">
        <v>7.0000000000000007E-2</v>
      </c>
      <c r="T447">
        <v>0.1</v>
      </c>
      <c r="U447" t="s">
        <v>330</v>
      </c>
      <c r="V447" t="s">
        <v>390</v>
      </c>
    </row>
    <row r="448" spans="1:22" x14ac:dyDescent="0.25">
      <c r="A448" t="s">
        <v>328</v>
      </c>
      <c r="B448" t="s">
        <v>192</v>
      </c>
      <c r="C448" t="s">
        <v>94</v>
      </c>
      <c r="D448" t="s">
        <v>100</v>
      </c>
      <c r="E448" t="s">
        <v>182</v>
      </c>
      <c r="F448">
        <v>200000</v>
      </c>
      <c r="G448" t="s">
        <v>102</v>
      </c>
      <c r="H448">
        <v>600000</v>
      </c>
      <c r="I448">
        <v>0.28000000000000003</v>
      </c>
      <c r="J448">
        <v>0.44</v>
      </c>
      <c r="K448">
        <v>0.62</v>
      </c>
      <c r="L448">
        <v>0.76</v>
      </c>
      <c r="M448" t="s">
        <v>98</v>
      </c>
      <c r="N448" t="s">
        <v>329</v>
      </c>
      <c r="Q448">
        <v>0.04</v>
      </c>
      <c r="R448">
        <v>7.0000000000000007E-2</v>
      </c>
      <c r="S448">
        <v>0.04</v>
      </c>
      <c r="T448">
        <v>0.06</v>
      </c>
      <c r="U448" t="s">
        <v>330</v>
      </c>
      <c r="V448" t="s">
        <v>390</v>
      </c>
    </row>
    <row r="449" spans="1:22" x14ac:dyDescent="0.25">
      <c r="A449" t="s">
        <v>328</v>
      </c>
      <c r="B449" t="s">
        <v>192</v>
      </c>
      <c r="C449" t="s">
        <v>94</v>
      </c>
      <c r="D449" t="s">
        <v>104</v>
      </c>
      <c r="E449" t="s">
        <v>105</v>
      </c>
      <c r="F449">
        <v>600000</v>
      </c>
      <c r="G449" t="s">
        <v>102</v>
      </c>
      <c r="I449">
        <v>0.36</v>
      </c>
      <c r="J449">
        <v>0.47</v>
      </c>
      <c r="K449">
        <v>0.77</v>
      </c>
      <c r="L449">
        <v>0.88</v>
      </c>
      <c r="M449" t="s">
        <v>98</v>
      </c>
      <c r="N449" t="s">
        <v>329</v>
      </c>
      <c r="Q449">
        <v>0.03</v>
      </c>
      <c r="R449">
        <v>0.04</v>
      </c>
      <c r="S449">
        <v>0.02</v>
      </c>
      <c r="T449">
        <v>0.04</v>
      </c>
      <c r="U449" t="s">
        <v>330</v>
      </c>
      <c r="V449" t="s">
        <v>390</v>
      </c>
    </row>
    <row r="450" spans="1:22" x14ac:dyDescent="0.25">
      <c r="A450" t="s">
        <v>328</v>
      </c>
      <c r="B450" t="s">
        <v>194</v>
      </c>
      <c r="C450" t="s">
        <v>116</v>
      </c>
      <c r="D450" t="s">
        <v>95</v>
      </c>
      <c r="E450" t="s">
        <v>164</v>
      </c>
      <c r="F450">
        <v>65000</v>
      </c>
      <c r="G450" t="s">
        <v>97</v>
      </c>
      <c r="H450">
        <v>300000</v>
      </c>
      <c r="I450">
        <v>0.59</v>
      </c>
      <c r="J450">
        <v>0.71</v>
      </c>
      <c r="K450">
        <v>0.82</v>
      </c>
      <c r="L450">
        <v>0.9</v>
      </c>
      <c r="M450" t="s">
        <v>98</v>
      </c>
      <c r="N450" t="s">
        <v>329</v>
      </c>
      <c r="Q450">
        <v>0.1</v>
      </c>
      <c r="R450">
        <v>0.15</v>
      </c>
      <c r="S450">
        <v>0.02</v>
      </c>
      <c r="T450">
        <v>0.03</v>
      </c>
      <c r="U450" t="s">
        <v>335</v>
      </c>
      <c r="V450" t="s">
        <v>391</v>
      </c>
    </row>
    <row r="451" spans="1:22" x14ac:dyDescent="0.25">
      <c r="A451" t="s">
        <v>328</v>
      </c>
      <c r="B451" t="s">
        <v>194</v>
      </c>
      <c r="C451" t="s">
        <v>116</v>
      </c>
      <c r="D451" t="s">
        <v>100</v>
      </c>
      <c r="E451" t="s">
        <v>276</v>
      </c>
      <c r="F451">
        <v>300000</v>
      </c>
      <c r="G451" t="s">
        <v>102</v>
      </c>
      <c r="H451">
        <v>950000</v>
      </c>
      <c r="I451">
        <v>0.64</v>
      </c>
      <c r="J451">
        <v>0.73</v>
      </c>
      <c r="K451">
        <v>0.88</v>
      </c>
      <c r="L451">
        <v>0.94</v>
      </c>
      <c r="M451" t="s">
        <v>98</v>
      </c>
      <c r="N451" t="s">
        <v>329</v>
      </c>
      <c r="Q451">
        <v>7.0000000000000007E-2</v>
      </c>
      <c r="R451">
        <v>0.11</v>
      </c>
      <c r="S451">
        <v>0.01</v>
      </c>
      <c r="T451">
        <v>0.02</v>
      </c>
      <c r="U451" t="s">
        <v>335</v>
      </c>
      <c r="V451" t="s">
        <v>391</v>
      </c>
    </row>
    <row r="452" spans="1:22" x14ac:dyDescent="0.25">
      <c r="A452" t="s">
        <v>328</v>
      </c>
      <c r="B452" t="s">
        <v>194</v>
      </c>
      <c r="C452" t="s">
        <v>116</v>
      </c>
      <c r="D452" t="s">
        <v>104</v>
      </c>
      <c r="E452" t="s">
        <v>277</v>
      </c>
      <c r="F452">
        <v>950000</v>
      </c>
      <c r="G452" t="s">
        <v>102</v>
      </c>
      <c r="I452">
        <v>0.71</v>
      </c>
      <c r="J452">
        <v>0.77</v>
      </c>
      <c r="K452">
        <v>0.92</v>
      </c>
      <c r="L452">
        <v>0.96</v>
      </c>
      <c r="M452" t="s">
        <v>98</v>
      </c>
      <c r="N452" t="s">
        <v>329</v>
      </c>
      <c r="Q452">
        <v>0.03</v>
      </c>
      <c r="R452">
        <v>0.06</v>
      </c>
      <c r="S452">
        <v>0</v>
      </c>
      <c r="T452">
        <v>0.01</v>
      </c>
      <c r="U452" t="s">
        <v>335</v>
      </c>
      <c r="V452" t="s">
        <v>391</v>
      </c>
    </row>
    <row r="453" spans="1:22" x14ac:dyDescent="0.25">
      <c r="A453" t="s">
        <v>328</v>
      </c>
      <c r="B453" t="s">
        <v>195</v>
      </c>
      <c r="C453" t="s">
        <v>94</v>
      </c>
      <c r="D453" t="s">
        <v>95</v>
      </c>
      <c r="E453" t="s">
        <v>96</v>
      </c>
      <c r="F453">
        <v>50000</v>
      </c>
      <c r="G453" t="s">
        <v>97</v>
      </c>
      <c r="H453">
        <v>150000</v>
      </c>
      <c r="I453">
        <v>0.12</v>
      </c>
      <c r="J453">
        <v>0.18</v>
      </c>
      <c r="K453">
        <v>0.4</v>
      </c>
      <c r="L453">
        <v>0.56999999999999995</v>
      </c>
      <c r="M453" t="s">
        <v>98</v>
      </c>
      <c r="N453" t="s">
        <v>329</v>
      </c>
      <c r="O453">
        <v>0.23</v>
      </c>
      <c r="P453">
        <v>0.36</v>
      </c>
      <c r="Q453">
        <v>0.14000000000000001</v>
      </c>
      <c r="R453">
        <v>0.21</v>
      </c>
      <c r="S453">
        <v>0.03</v>
      </c>
      <c r="T453">
        <v>0.05</v>
      </c>
      <c r="U453" t="s">
        <v>332</v>
      </c>
      <c r="V453" t="s">
        <v>392</v>
      </c>
    </row>
    <row r="454" spans="1:22" x14ac:dyDescent="0.25">
      <c r="A454" t="s">
        <v>328</v>
      </c>
      <c r="B454" t="s">
        <v>195</v>
      </c>
      <c r="C454" t="s">
        <v>94</v>
      </c>
      <c r="D454" t="s">
        <v>100</v>
      </c>
      <c r="E454" t="s">
        <v>207</v>
      </c>
      <c r="F454">
        <v>150000</v>
      </c>
      <c r="G454" t="s">
        <v>102</v>
      </c>
      <c r="H454">
        <v>300000</v>
      </c>
      <c r="I454">
        <v>0.11</v>
      </c>
      <c r="J454">
        <v>0.16</v>
      </c>
      <c r="K454">
        <v>0.57999999999999996</v>
      </c>
      <c r="L454">
        <v>0.75</v>
      </c>
      <c r="M454" t="s">
        <v>98</v>
      </c>
      <c r="N454" t="s">
        <v>329</v>
      </c>
      <c r="O454">
        <v>0.25</v>
      </c>
      <c r="P454">
        <v>0.37</v>
      </c>
      <c r="Q454">
        <v>0.11</v>
      </c>
      <c r="R454">
        <v>0.17</v>
      </c>
      <c r="S454">
        <v>0.02</v>
      </c>
      <c r="T454">
        <v>0.03</v>
      </c>
      <c r="U454" t="s">
        <v>332</v>
      </c>
      <c r="V454" t="s">
        <v>392</v>
      </c>
    </row>
    <row r="455" spans="1:22" x14ac:dyDescent="0.25">
      <c r="A455" t="s">
        <v>328</v>
      </c>
      <c r="B455" t="s">
        <v>195</v>
      </c>
      <c r="C455" t="s">
        <v>94</v>
      </c>
      <c r="D455" t="s">
        <v>104</v>
      </c>
      <c r="E455" t="s">
        <v>209</v>
      </c>
      <c r="F455">
        <v>300000</v>
      </c>
      <c r="G455" t="s">
        <v>102</v>
      </c>
      <c r="I455">
        <v>0.12</v>
      </c>
      <c r="J455">
        <v>0.16</v>
      </c>
      <c r="K455">
        <v>0.75</v>
      </c>
      <c r="L455">
        <v>0.86</v>
      </c>
      <c r="M455" t="s">
        <v>98</v>
      </c>
      <c r="N455" t="s">
        <v>329</v>
      </c>
      <c r="O455">
        <v>0.32</v>
      </c>
      <c r="P455">
        <v>0.44</v>
      </c>
      <c r="Q455">
        <v>0.08</v>
      </c>
      <c r="R455">
        <v>0.13</v>
      </c>
      <c r="S455">
        <v>0.01</v>
      </c>
      <c r="T455">
        <v>0.02</v>
      </c>
      <c r="U455" t="s">
        <v>332</v>
      </c>
      <c r="V455" t="s">
        <v>392</v>
      </c>
    </row>
    <row r="456" spans="1:22" x14ac:dyDescent="0.25">
      <c r="A456" t="s">
        <v>328</v>
      </c>
      <c r="B456" t="s">
        <v>196</v>
      </c>
      <c r="C456" t="s">
        <v>116</v>
      </c>
      <c r="D456" t="s">
        <v>95</v>
      </c>
      <c r="E456" t="s">
        <v>123</v>
      </c>
      <c r="F456">
        <v>65000</v>
      </c>
      <c r="G456" t="s">
        <v>97</v>
      </c>
      <c r="H456">
        <v>400000</v>
      </c>
      <c r="I456">
        <v>0.47</v>
      </c>
      <c r="J456">
        <v>0.63</v>
      </c>
      <c r="K456">
        <v>0.72</v>
      </c>
      <c r="L456">
        <v>0.84</v>
      </c>
      <c r="M456" t="s">
        <v>98</v>
      </c>
      <c r="N456" t="s">
        <v>329</v>
      </c>
    </row>
    <row r="457" spans="1:22" x14ac:dyDescent="0.25">
      <c r="A457" t="s">
        <v>328</v>
      </c>
      <c r="B457" t="s">
        <v>196</v>
      </c>
      <c r="C457" t="s">
        <v>116</v>
      </c>
      <c r="D457" t="s">
        <v>100</v>
      </c>
      <c r="E457" t="s">
        <v>278</v>
      </c>
      <c r="F457">
        <v>400000</v>
      </c>
      <c r="G457" t="s">
        <v>102</v>
      </c>
      <c r="H457">
        <v>1000000</v>
      </c>
      <c r="I457">
        <v>0.55000000000000004</v>
      </c>
      <c r="J457">
        <v>0.66</v>
      </c>
      <c r="K457">
        <v>0.82</v>
      </c>
      <c r="L457">
        <v>0.91</v>
      </c>
      <c r="M457" t="s">
        <v>98</v>
      </c>
      <c r="N457" t="s">
        <v>329</v>
      </c>
    </row>
    <row r="458" spans="1:22" x14ac:dyDescent="0.25">
      <c r="A458" t="s">
        <v>328</v>
      </c>
      <c r="B458" t="s">
        <v>196</v>
      </c>
      <c r="C458" t="s">
        <v>116</v>
      </c>
      <c r="D458" t="s">
        <v>104</v>
      </c>
      <c r="E458" t="s">
        <v>264</v>
      </c>
      <c r="F458">
        <v>1000000</v>
      </c>
      <c r="G458" t="s">
        <v>102</v>
      </c>
      <c r="I458">
        <v>0.61</v>
      </c>
      <c r="J458">
        <v>0.69</v>
      </c>
      <c r="K458">
        <v>0.87</v>
      </c>
      <c r="L458">
        <v>0.93</v>
      </c>
      <c r="M458" t="s">
        <v>98</v>
      </c>
      <c r="N458" t="s">
        <v>329</v>
      </c>
    </row>
    <row r="459" spans="1:22" x14ac:dyDescent="0.25">
      <c r="A459" t="s">
        <v>328</v>
      </c>
      <c r="B459" t="s">
        <v>197</v>
      </c>
      <c r="C459" t="s">
        <v>94</v>
      </c>
      <c r="D459" t="s">
        <v>95</v>
      </c>
      <c r="E459" t="s">
        <v>279</v>
      </c>
      <c r="F459">
        <v>65000</v>
      </c>
      <c r="G459" t="s">
        <v>97</v>
      </c>
      <c r="H459">
        <v>175000</v>
      </c>
      <c r="K459">
        <v>0.4</v>
      </c>
      <c r="L459">
        <v>0.64</v>
      </c>
      <c r="M459" t="s">
        <v>98</v>
      </c>
      <c r="N459" t="s">
        <v>329</v>
      </c>
      <c r="O459">
        <v>0.21</v>
      </c>
      <c r="P459">
        <v>0.36</v>
      </c>
      <c r="Q459">
        <v>0.14000000000000001</v>
      </c>
      <c r="R459">
        <v>0.23</v>
      </c>
      <c r="S459">
        <v>0.04</v>
      </c>
      <c r="T459">
        <v>0.06</v>
      </c>
      <c r="U459" t="s">
        <v>338</v>
      </c>
      <c r="V459" t="s">
        <v>393</v>
      </c>
    </row>
    <row r="460" spans="1:22" x14ac:dyDescent="0.25">
      <c r="A460" t="s">
        <v>328</v>
      </c>
      <c r="B460" t="s">
        <v>197</v>
      </c>
      <c r="C460" t="s">
        <v>94</v>
      </c>
      <c r="D460" t="s">
        <v>100</v>
      </c>
      <c r="E460" t="s">
        <v>280</v>
      </c>
      <c r="F460">
        <v>175000</v>
      </c>
      <c r="G460" t="s">
        <v>102</v>
      </c>
      <c r="H460">
        <v>600000</v>
      </c>
      <c r="K460">
        <v>0.69</v>
      </c>
      <c r="L460">
        <v>0.83</v>
      </c>
      <c r="M460" t="s">
        <v>98</v>
      </c>
      <c r="N460" t="s">
        <v>329</v>
      </c>
      <c r="O460">
        <v>0.22</v>
      </c>
      <c r="P460">
        <v>0.35</v>
      </c>
      <c r="Q460">
        <v>0.15</v>
      </c>
      <c r="R460">
        <v>0.23</v>
      </c>
      <c r="S460">
        <v>0.02</v>
      </c>
      <c r="T460">
        <v>0.03</v>
      </c>
      <c r="U460" t="s">
        <v>338</v>
      </c>
      <c r="V460" t="s">
        <v>393</v>
      </c>
    </row>
    <row r="461" spans="1:22" x14ac:dyDescent="0.25">
      <c r="A461" t="s">
        <v>328</v>
      </c>
      <c r="B461" t="s">
        <v>197</v>
      </c>
      <c r="C461" t="s">
        <v>94</v>
      </c>
      <c r="D461" t="s">
        <v>104</v>
      </c>
      <c r="E461" t="s">
        <v>105</v>
      </c>
      <c r="F461">
        <v>600000</v>
      </c>
      <c r="G461" t="s">
        <v>102</v>
      </c>
      <c r="K461">
        <v>0.72</v>
      </c>
      <c r="L461">
        <v>0.85</v>
      </c>
      <c r="M461" t="s">
        <v>98</v>
      </c>
      <c r="N461" t="s">
        <v>329</v>
      </c>
      <c r="O461">
        <v>0.19</v>
      </c>
      <c r="P461">
        <v>0.33</v>
      </c>
      <c r="Q461">
        <v>0.13</v>
      </c>
      <c r="R461">
        <v>0.19</v>
      </c>
      <c r="S461">
        <v>0.01</v>
      </c>
      <c r="T461">
        <v>0.01</v>
      </c>
      <c r="U461" t="s">
        <v>338</v>
      </c>
      <c r="V461" t="s">
        <v>393</v>
      </c>
    </row>
    <row r="462" spans="1:22" x14ac:dyDescent="0.25">
      <c r="A462" t="s">
        <v>328</v>
      </c>
      <c r="B462" t="s">
        <v>198</v>
      </c>
      <c r="C462" t="s">
        <v>116</v>
      </c>
      <c r="D462" t="s">
        <v>95</v>
      </c>
      <c r="E462" t="s">
        <v>123</v>
      </c>
      <c r="F462">
        <v>65000</v>
      </c>
      <c r="G462" t="s">
        <v>97</v>
      </c>
      <c r="H462">
        <v>400000</v>
      </c>
      <c r="I462">
        <v>0.48</v>
      </c>
      <c r="J462">
        <v>0.64</v>
      </c>
      <c r="K462">
        <v>0.73</v>
      </c>
      <c r="L462">
        <v>0.89</v>
      </c>
      <c r="M462" t="s">
        <v>98</v>
      </c>
      <c r="N462" t="s">
        <v>329</v>
      </c>
      <c r="Q462">
        <v>7.0000000000000007E-2</v>
      </c>
      <c r="R462">
        <v>0.13</v>
      </c>
      <c r="S462">
        <v>0.02</v>
      </c>
      <c r="T462">
        <v>0.04</v>
      </c>
      <c r="U462" t="s">
        <v>335</v>
      </c>
      <c r="V462" t="s">
        <v>394</v>
      </c>
    </row>
    <row r="463" spans="1:22" x14ac:dyDescent="0.25">
      <c r="A463" t="s">
        <v>328</v>
      </c>
      <c r="B463" t="s">
        <v>198</v>
      </c>
      <c r="C463" t="s">
        <v>116</v>
      </c>
      <c r="D463" t="s">
        <v>100</v>
      </c>
      <c r="E463" t="s">
        <v>281</v>
      </c>
      <c r="F463">
        <v>400000</v>
      </c>
      <c r="G463" t="s">
        <v>102</v>
      </c>
      <c r="H463">
        <v>600000</v>
      </c>
      <c r="I463">
        <v>0.55000000000000004</v>
      </c>
      <c r="J463">
        <v>0.64</v>
      </c>
      <c r="K463">
        <v>0.86</v>
      </c>
      <c r="L463">
        <v>0.92</v>
      </c>
      <c r="M463" t="s">
        <v>98</v>
      </c>
      <c r="N463" t="s">
        <v>329</v>
      </c>
      <c r="Q463">
        <v>0.06</v>
      </c>
      <c r="R463">
        <v>0.1</v>
      </c>
      <c r="S463">
        <v>0.01</v>
      </c>
      <c r="T463">
        <v>0.02</v>
      </c>
      <c r="U463" t="s">
        <v>335</v>
      </c>
      <c r="V463" t="s">
        <v>394</v>
      </c>
    </row>
    <row r="464" spans="1:22" x14ac:dyDescent="0.25">
      <c r="A464" t="s">
        <v>328</v>
      </c>
      <c r="B464" t="s">
        <v>198</v>
      </c>
      <c r="C464" t="s">
        <v>116</v>
      </c>
      <c r="D464" t="s">
        <v>104</v>
      </c>
      <c r="E464" t="s">
        <v>105</v>
      </c>
      <c r="F464">
        <v>600000</v>
      </c>
      <c r="G464" t="s">
        <v>102</v>
      </c>
      <c r="I464">
        <v>0.56999999999999995</v>
      </c>
      <c r="J464">
        <v>0.65</v>
      </c>
      <c r="K464">
        <v>0.87</v>
      </c>
      <c r="L464">
        <v>0.94</v>
      </c>
      <c r="M464" t="s">
        <v>98</v>
      </c>
      <c r="N464" t="s">
        <v>329</v>
      </c>
      <c r="Q464">
        <v>0.05</v>
      </c>
      <c r="R464">
        <v>0.09</v>
      </c>
      <c r="S464">
        <v>0</v>
      </c>
      <c r="T464">
        <v>0.01</v>
      </c>
      <c r="U464" t="s">
        <v>335</v>
      </c>
      <c r="V464" t="s">
        <v>394</v>
      </c>
    </row>
    <row r="465" spans="1:22" x14ac:dyDescent="0.25">
      <c r="A465" t="s">
        <v>328</v>
      </c>
      <c r="B465" t="s">
        <v>199</v>
      </c>
      <c r="C465" t="s">
        <v>116</v>
      </c>
      <c r="D465" t="s">
        <v>95</v>
      </c>
      <c r="E465" t="s">
        <v>143</v>
      </c>
      <c r="F465">
        <v>65000</v>
      </c>
      <c r="G465" t="s">
        <v>97</v>
      </c>
      <c r="H465">
        <v>250000</v>
      </c>
      <c r="I465">
        <v>0.41</v>
      </c>
      <c r="J465">
        <v>0.55000000000000004</v>
      </c>
      <c r="K465">
        <v>0.72</v>
      </c>
      <c r="L465">
        <v>0.85</v>
      </c>
      <c r="M465" t="s">
        <v>98</v>
      </c>
      <c r="N465" t="s">
        <v>329</v>
      </c>
      <c r="O465">
        <v>0.15</v>
      </c>
      <c r="P465">
        <v>0.2</v>
      </c>
      <c r="Q465">
        <v>0.11</v>
      </c>
      <c r="R465">
        <v>0.2</v>
      </c>
      <c r="S465">
        <v>0.03</v>
      </c>
      <c r="T465">
        <v>0.05</v>
      </c>
      <c r="U465" t="s">
        <v>338</v>
      </c>
      <c r="V465" t="s">
        <v>395</v>
      </c>
    </row>
    <row r="466" spans="1:22" x14ac:dyDescent="0.25">
      <c r="A466" t="s">
        <v>328</v>
      </c>
      <c r="B466" t="s">
        <v>199</v>
      </c>
      <c r="C466" t="s">
        <v>116</v>
      </c>
      <c r="D466" t="s">
        <v>100</v>
      </c>
      <c r="E466" t="s">
        <v>282</v>
      </c>
      <c r="F466">
        <v>250000</v>
      </c>
      <c r="G466" t="s">
        <v>102</v>
      </c>
      <c r="H466">
        <v>900000</v>
      </c>
      <c r="I466">
        <v>0.47</v>
      </c>
      <c r="J466">
        <v>0.56000000000000005</v>
      </c>
      <c r="K466">
        <v>0.81</v>
      </c>
      <c r="L466">
        <v>0.91</v>
      </c>
      <c r="M466" t="s">
        <v>98</v>
      </c>
      <c r="N466" t="s">
        <v>329</v>
      </c>
      <c r="O466">
        <v>0.11</v>
      </c>
      <c r="P466">
        <v>0.19</v>
      </c>
      <c r="Q466">
        <v>0.09</v>
      </c>
      <c r="R466">
        <v>0.18</v>
      </c>
      <c r="S466">
        <v>0.01</v>
      </c>
      <c r="T466">
        <v>0.02</v>
      </c>
      <c r="U466" t="s">
        <v>338</v>
      </c>
      <c r="V466" t="s">
        <v>395</v>
      </c>
    </row>
    <row r="467" spans="1:22" x14ac:dyDescent="0.25">
      <c r="A467" t="s">
        <v>328</v>
      </c>
      <c r="B467" t="s">
        <v>199</v>
      </c>
      <c r="C467" t="s">
        <v>116</v>
      </c>
      <c r="D467" t="s">
        <v>104</v>
      </c>
      <c r="E467" t="s">
        <v>162</v>
      </c>
      <c r="F467">
        <v>900000</v>
      </c>
      <c r="G467" t="s">
        <v>102</v>
      </c>
      <c r="I467">
        <v>0.49</v>
      </c>
      <c r="J467">
        <v>0.6</v>
      </c>
      <c r="K467">
        <v>0.86</v>
      </c>
      <c r="L467">
        <v>0.93</v>
      </c>
      <c r="M467" t="s">
        <v>98</v>
      </c>
      <c r="N467" t="s">
        <v>329</v>
      </c>
      <c r="O467">
        <v>0.12</v>
      </c>
      <c r="P467">
        <v>0.18</v>
      </c>
      <c r="Q467">
        <v>0.05</v>
      </c>
      <c r="R467">
        <v>0.12</v>
      </c>
      <c r="S467">
        <v>0.01</v>
      </c>
      <c r="T467">
        <v>0.01</v>
      </c>
      <c r="U467" t="s">
        <v>338</v>
      </c>
      <c r="V467" t="s">
        <v>395</v>
      </c>
    </row>
    <row r="468" spans="1:22" x14ac:dyDescent="0.25">
      <c r="A468" t="s">
        <v>328</v>
      </c>
      <c r="B468" t="s">
        <v>200</v>
      </c>
      <c r="C468" t="s">
        <v>116</v>
      </c>
      <c r="D468" t="s">
        <v>95</v>
      </c>
      <c r="E468" t="s">
        <v>283</v>
      </c>
      <c r="F468">
        <v>65000</v>
      </c>
      <c r="G468" t="s">
        <v>97</v>
      </c>
      <c r="H468">
        <v>275000</v>
      </c>
      <c r="I468">
        <v>0.26</v>
      </c>
      <c r="J468">
        <v>0.33</v>
      </c>
      <c r="K468">
        <v>0.69</v>
      </c>
      <c r="L468">
        <v>0.82</v>
      </c>
      <c r="M468" t="s">
        <v>98</v>
      </c>
      <c r="N468" t="s">
        <v>329</v>
      </c>
      <c r="Q468">
        <v>0.1</v>
      </c>
      <c r="R468">
        <v>0.18</v>
      </c>
      <c r="S468">
        <v>0.05</v>
      </c>
      <c r="T468">
        <v>0.09</v>
      </c>
      <c r="U468" t="s">
        <v>335</v>
      </c>
      <c r="V468" t="s">
        <v>396</v>
      </c>
    </row>
    <row r="469" spans="1:22" x14ac:dyDescent="0.25">
      <c r="A469" t="s">
        <v>328</v>
      </c>
      <c r="B469" t="s">
        <v>200</v>
      </c>
      <c r="C469" t="s">
        <v>116</v>
      </c>
      <c r="D469" t="s">
        <v>100</v>
      </c>
      <c r="E469" t="s">
        <v>284</v>
      </c>
      <c r="F469">
        <v>275000</v>
      </c>
      <c r="G469" t="s">
        <v>102</v>
      </c>
      <c r="H469">
        <v>475000</v>
      </c>
      <c r="I469">
        <v>0.28000000000000003</v>
      </c>
      <c r="J469">
        <v>0.34</v>
      </c>
      <c r="K469">
        <v>0.83</v>
      </c>
      <c r="L469">
        <v>0.91</v>
      </c>
      <c r="M469" t="s">
        <v>98</v>
      </c>
      <c r="N469" t="s">
        <v>329</v>
      </c>
      <c r="Q469">
        <v>0.12</v>
      </c>
      <c r="R469">
        <v>0.15</v>
      </c>
      <c r="S469">
        <v>0.02</v>
      </c>
      <c r="T469">
        <v>0.03</v>
      </c>
      <c r="U469" t="s">
        <v>335</v>
      </c>
      <c r="V469" t="s">
        <v>396</v>
      </c>
    </row>
    <row r="470" spans="1:22" x14ac:dyDescent="0.25">
      <c r="A470" t="s">
        <v>328</v>
      </c>
      <c r="B470" t="s">
        <v>200</v>
      </c>
      <c r="C470" t="s">
        <v>116</v>
      </c>
      <c r="D470" t="s">
        <v>104</v>
      </c>
      <c r="E470" t="s">
        <v>285</v>
      </c>
      <c r="F470">
        <v>475000</v>
      </c>
      <c r="G470" t="s">
        <v>102</v>
      </c>
      <c r="I470">
        <v>0.27</v>
      </c>
      <c r="J470">
        <v>0.35</v>
      </c>
      <c r="K470">
        <v>0.8</v>
      </c>
      <c r="L470">
        <v>0.89</v>
      </c>
      <c r="M470" t="s">
        <v>98</v>
      </c>
      <c r="N470" t="s">
        <v>329</v>
      </c>
      <c r="Q470">
        <v>0.08</v>
      </c>
      <c r="R470">
        <v>0.13</v>
      </c>
      <c r="S470">
        <v>0.01</v>
      </c>
      <c r="T470">
        <v>0.02</v>
      </c>
      <c r="U470" t="s">
        <v>335</v>
      </c>
      <c r="V470" t="s">
        <v>396</v>
      </c>
    </row>
    <row r="471" spans="1:22" x14ac:dyDescent="0.25">
      <c r="A471" t="s">
        <v>328</v>
      </c>
      <c r="B471" t="s">
        <v>202</v>
      </c>
      <c r="C471" t="s">
        <v>116</v>
      </c>
      <c r="D471" t="s">
        <v>95</v>
      </c>
      <c r="E471" t="s">
        <v>286</v>
      </c>
      <c r="F471">
        <v>50000</v>
      </c>
      <c r="G471" t="s">
        <v>97</v>
      </c>
      <c r="H471">
        <v>170000</v>
      </c>
      <c r="I471">
        <v>0.38</v>
      </c>
      <c r="J471">
        <v>0.47</v>
      </c>
      <c r="K471">
        <v>0.77</v>
      </c>
      <c r="L471">
        <v>0.84</v>
      </c>
      <c r="M471" t="s">
        <v>98</v>
      </c>
      <c r="N471" t="s">
        <v>329</v>
      </c>
      <c r="Q471">
        <v>0.14000000000000001</v>
      </c>
      <c r="R471">
        <v>0.19</v>
      </c>
      <c r="S471">
        <v>0.03</v>
      </c>
      <c r="T471">
        <v>0.05</v>
      </c>
      <c r="U471" t="s">
        <v>335</v>
      </c>
      <c r="V471" t="s">
        <v>397</v>
      </c>
    </row>
    <row r="472" spans="1:22" x14ac:dyDescent="0.25">
      <c r="A472" t="s">
        <v>328</v>
      </c>
      <c r="B472" t="s">
        <v>202</v>
      </c>
      <c r="C472" t="s">
        <v>116</v>
      </c>
      <c r="D472" t="s">
        <v>100</v>
      </c>
      <c r="E472" t="s">
        <v>287</v>
      </c>
      <c r="F472">
        <v>170000</v>
      </c>
      <c r="G472" t="s">
        <v>102</v>
      </c>
      <c r="H472">
        <v>300000</v>
      </c>
      <c r="I472">
        <v>0.41</v>
      </c>
      <c r="J472">
        <v>0.47</v>
      </c>
      <c r="K472">
        <v>0.81</v>
      </c>
      <c r="L472">
        <v>0.89</v>
      </c>
      <c r="M472" t="s">
        <v>98</v>
      </c>
      <c r="N472" t="s">
        <v>329</v>
      </c>
      <c r="Q472">
        <v>0.12</v>
      </c>
      <c r="R472">
        <v>0.18</v>
      </c>
      <c r="S472">
        <v>0.02</v>
      </c>
      <c r="T472">
        <v>0.03</v>
      </c>
      <c r="U472" t="s">
        <v>335</v>
      </c>
      <c r="V472" t="s">
        <v>397</v>
      </c>
    </row>
    <row r="473" spans="1:22" x14ac:dyDescent="0.25">
      <c r="A473" t="s">
        <v>328</v>
      </c>
      <c r="B473" t="s">
        <v>202</v>
      </c>
      <c r="C473" t="s">
        <v>116</v>
      </c>
      <c r="D473" t="s">
        <v>104</v>
      </c>
      <c r="E473" t="s">
        <v>209</v>
      </c>
      <c r="F473">
        <v>300000</v>
      </c>
      <c r="G473" t="s">
        <v>102</v>
      </c>
      <c r="I473">
        <v>0.43</v>
      </c>
      <c r="J473">
        <v>0.49</v>
      </c>
      <c r="K473">
        <v>0.84</v>
      </c>
      <c r="L473">
        <v>0.91</v>
      </c>
      <c r="M473" t="s">
        <v>98</v>
      </c>
      <c r="N473" t="s">
        <v>329</v>
      </c>
      <c r="Q473">
        <v>0.08</v>
      </c>
      <c r="R473">
        <v>0.14000000000000001</v>
      </c>
      <c r="S473">
        <v>0.01</v>
      </c>
      <c r="T473">
        <v>0.02</v>
      </c>
      <c r="U473" t="s">
        <v>335</v>
      </c>
      <c r="V473" t="s">
        <v>397</v>
      </c>
    </row>
    <row r="474" spans="1:22" x14ac:dyDescent="0.25">
      <c r="A474" t="s">
        <v>328</v>
      </c>
      <c r="B474" t="s">
        <v>204</v>
      </c>
      <c r="C474" t="s">
        <v>94</v>
      </c>
      <c r="D474" t="s">
        <v>95</v>
      </c>
      <c r="E474" t="s">
        <v>180</v>
      </c>
      <c r="F474">
        <v>50000</v>
      </c>
      <c r="G474" t="s">
        <v>97</v>
      </c>
      <c r="H474">
        <v>200000</v>
      </c>
      <c r="I474">
        <v>0.15</v>
      </c>
      <c r="J474">
        <v>0.3</v>
      </c>
      <c r="K474">
        <v>0.46</v>
      </c>
      <c r="L474">
        <v>0.64</v>
      </c>
      <c r="M474" t="s">
        <v>98</v>
      </c>
      <c r="N474" t="s">
        <v>329</v>
      </c>
      <c r="O474">
        <v>0.18</v>
      </c>
      <c r="P474">
        <v>0.28999999999999998</v>
      </c>
      <c r="S474">
        <v>7.0000000000000007E-2</v>
      </c>
      <c r="T474">
        <v>0.11</v>
      </c>
      <c r="U474" t="s">
        <v>375</v>
      </c>
      <c r="V474" t="s">
        <v>398</v>
      </c>
    </row>
    <row r="475" spans="1:22" x14ac:dyDescent="0.25">
      <c r="A475" t="s">
        <v>328</v>
      </c>
      <c r="B475" t="s">
        <v>204</v>
      </c>
      <c r="C475" t="s">
        <v>94</v>
      </c>
      <c r="D475" t="s">
        <v>100</v>
      </c>
      <c r="E475" t="s">
        <v>223</v>
      </c>
      <c r="F475">
        <v>200000</v>
      </c>
      <c r="G475" t="s">
        <v>102</v>
      </c>
      <c r="H475">
        <v>500000</v>
      </c>
      <c r="I475">
        <v>0.24</v>
      </c>
      <c r="J475">
        <v>0.36</v>
      </c>
      <c r="K475">
        <v>0.63</v>
      </c>
      <c r="L475">
        <v>0.77</v>
      </c>
      <c r="M475" t="s">
        <v>98</v>
      </c>
      <c r="N475" t="s">
        <v>329</v>
      </c>
      <c r="O475">
        <v>0.17</v>
      </c>
      <c r="P475">
        <v>0.28000000000000003</v>
      </c>
      <c r="S475">
        <v>0.04</v>
      </c>
      <c r="T475">
        <v>7.0000000000000007E-2</v>
      </c>
      <c r="U475" t="s">
        <v>375</v>
      </c>
      <c r="V475" t="s">
        <v>398</v>
      </c>
    </row>
    <row r="476" spans="1:22" x14ac:dyDescent="0.25">
      <c r="A476" t="s">
        <v>328</v>
      </c>
      <c r="B476" t="s">
        <v>204</v>
      </c>
      <c r="C476" t="s">
        <v>94</v>
      </c>
      <c r="D476" t="s">
        <v>104</v>
      </c>
      <c r="E476" t="s">
        <v>141</v>
      </c>
      <c r="F476">
        <v>500000</v>
      </c>
      <c r="G476" t="s">
        <v>102</v>
      </c>
      <c r="I476">
        <v>0.27</v>
      </c>
      <c r="J476">
        <v>0.38</v>
      </c>
      <c r="K476">
        <v>0.76</v>
      </c>
      <c r="L476">
        <v>0.86</v>
      </c>
      <c r="M476" t="s">
        <v>98</v>
      </c>
      <c r="N476" t="s">
        <v>329</v>
      </c>
      <c r="O476">
        <v>0.24</v>
      </c>
      <c r="P476">
        <v>0.34</v>
      </c>
      <c r="S476">
        <v>0.03</v>
      </c>
      <c r="T476">
        <v>0.05</v>
      </c>
      <c r="U476" t="s">
        <v>375</v>
      </c>
      <c r="V476" t="s">
        <v>398</v>
      </c>
    </row>
    <row r="477" spans="1:22" x14ac:dyDescent="0.25">
      <c r="A477" t="s">
        <v>328</v>
      </c>
      <c r="B477" t="s">
        <v>205</v>
      </c>
      <c r="C477" t="s">
        <v>94</v>
      </c>
      <c r="D477" t="s">
        <v>95</v>
      </c>
      <c r="E477" t="s">
        <v>128</v>
      </c>
      <c r="F477">
        <v>65000</v>
      </c>
      <c r="G477" t="s">
        <v>97</v>
      </c>
      <c r="H477">
        <v>150000</v>
      </c>
      <c r="K477">
        <v>0.62</v>
      </c>
      <c r="L477">
        <v>0.76</v>
      </c>
      <c r="M477" t="s">
        <v>98</v>
      </c>
      <c r="N477" t="s">
        <v>329</v>
      </c>
      <c r="Q477">
        <v>0.21</v>
      </c>
      <c r="R477">
        <v>0.33</v>
      </c>
      <c r="S477">
        <v>0.04</v>
      </c>
      <c r="T477">
        <v>7.0000000000000007E-2</v>
      </c>
      <c r="U477" t="s">
        <v>335</v>
      </c>
      <c r="V477" t="s">
        <v>399</v>
      </c>
    </row>
    <row r="478" spans="1:22" x14ac:dyDescent="0.25">
      <c r="A478" t="s">
        <v>328</v>
      </c>
      <c r="B478" t="s">
        <v>205</v>
      </c>
      <c r="C478" t="s">
        <v>94</v>
      </c>
      <c r="D478" t="s">
        <v>100</v>
      </c>
      <c r="E478" t="s">
        <v>101</v>
      </c>
      <c r="F478">
        <v>150000</v>
      </c>
      <c r="G478" t="s">
        <v>102</v>
      </c>
      <c r="H478">
        <v>600000</v>
      </c>
      <c r="K478">
        <v>0.63</v>
      </c>
      <c r="L478">
        <v>0.79</v>
      </c>
      <c r="M478" t="s">
        <v>98</v>
      </c>
      <c r="N478" t="s">
        <v>329</v>
      </c>
      <c r="Q478">
        <v>0.14000000000000001</v>
      </c>
      <c r="R478">
        <v>0.22</v>
      </c>
      <c r="S478">
        <v>0.03</v>
      </c>
      <c r="T478">
        <v>0.05</v>
      </c>
      <c r="U478" t="s">
        <v>335</v>
      </c>
      <c r="V478" t="s">
        <v>399</v>
      </c>
    </row>
    <row r="479" spans="1:22" x14ac:dyDescent="0.25">
      <c r="A479" t="s">
        <v>328</v>
      </c>
      <c r="B479" t="s">
        <v>205</v>
      </c>
      <c r="C479" t="s">
        <v>94</v>
      </c>
      <c r="D479" t="s">
        <v>104</v>
      </c>
      <c r="E479" t="s">
        <v>105</v>
      </c>
      <c r="F479">
        <v>600000</v>
      </c>
      <c r="G479" t="s">
        <v>102</v>
      </c>
      <c r="K479">
        <v>0.75</v>
      </c>
      <c r="L479">
        <v>0.87</v>
      </c>
      <c r="M479" t="s">
        <v>98</v>
      </c>
      <c r="N479" t="s">
        <v>329</v>
      </c>
      <c r="Q479">
        <v>7.0000000000000007E-2</v>
      </c>
      <c r="R479">
        <v>0.13</v>
      </c>
      <c r="S479">
        <v>0.02</v>
      </c>
      <c r="T479">
        <v>0.03</v>
      </c>
      <c r="U479" t="s">
        <v>335</v>
      </c>
      <c r="V479" t="s">
        <v>399</v>
      </c>
    </row>
    <row r="480" spans="1:22" x14ac:dyDescent="0.25">
      <c r="A480" t="s">
        <v>328</v>
      </c>
      <c r="B480" t="s">
        <v>206</v>
      </c>
      <c r="C480" t="s">
        <v>116</v>
      </c>
      <c r="D480" t="s">
        <v>95</v>
      </c>
      <c r="E480" t="s">
        <v>288</v>
      </c>
      <c r="F480">
        <v>65000</v>
      </c>
      <c r="G480" t="s">
        <v>97</v>
      </c>
      <c r="H480">
        <v>550000</v>
      </c>
      <c r="I480">
        <v>0.48</v>
      </c>
      <c r="J480">
        <v>0.62</v>
      </c>
      <c r="K480">
        <v>0.75</v>
      </c>
      <c r="L480">
        <v>0.83</v>
      </c>
      <c r="M480" t="s">
        <v>98</v>
      </c>
      <c r="N480" t="s">
        <v>329</v>
      </c>
      <c r="S480">
        <v>0.02</v>
      </c>
      <c r="T480">
        <v>0.03</v>
      </c>
      <c r="U480" t="s">
        <v>343</v>
      </c>
      <c r="V480" t="s">
        <v>400</v>
      </c>
    </row>
    <row r="481" spans="1:22" x14ac:dyDescent="0.25">
      <c r="A481" t="s">
        <v>328</v>
      </c>
      <c r="B481" t="s">
        <v>206</v>
      </c>
      <c r="C481" t="s">
        <v>116</v>
      </c>
      <c r="D481" t="s">
        <v>100</v>
      </c>
      <c r="E481" t="s">
        <v>289</v>
      </c>
      <c r="F481">
        <v>550000</v>
      </c>
      <c r="G481" t="s">
        <v>102</v>
      </c>
      <c r="H481">
        <v>1450000</v>
      </c>
      <c r="I481">
        <v>0.59</v>
      </c>
      <c r="J481">
        <v>0.64</v>
      </c>
      <c r="K481">
        <v>0.85</v>
      </c>
      <c r="L481">
        <v>0.91</v>
      </c>
      <c r="M481" t="s">
        <v>98</v>
      </c>
      <c r="N481" t="s">
        <v>329</v>
      </c>
      <c r="S481">
        <v>0.01</v>
      </c>
      <c r="T481">
        <v>0.02</v>
      </c>
      <c r="U481" t="s">
        <v>343</v>
      </c>
      <c r="V481" t="s">
        <v>400</v>
      </c>
    </row>
    <row r="482" spans="1:22" x14ac:dyDescent="0.25">
      <c r="A482" t="s">
        <v>328</v>
      </c>
      <c r="B482" t="s">
        <v>206</v>
      </c>
      <c r="C482" t="s">
        <v>116</v>
      </c>
      <c r="D482" t="s">
        <v>104</v>
      </c>
      <c r="E482" t="s">
        <v>290</v>
      </c>
      <c r="F482">
        <v>1450000</v>
      </c>
      <c r="G482" t="s">
        <v>102</v>
      </c>
      <c r="I482">
        <v>0.64</v>
      </c>
      <c r="J482">
        <v>0.69</v>
      </c>
      <c r="K482">
        <v>0.89</v>
      </c>
      <c r="L482">
        <v>0.94</v>
      </c>
      <c r="M482" t="s">
        <v>98</v>
      </c>
      <c r="N482" t="s">
        <v>329</v>
      </c>
      <c r="S482">
        <v>0.01</v>
      </c>
      <c r="T482">
        <v>0.01</v>
      </c>
      <c r="U482" t="s">
        <v>343</v>
      </c>
      <c r="V482" t="s">
        <v>400</v>
      </c>
    </row>
    <row r="483" spans="1:22" x14ac:dyDescent="0.25">
      <c r="A483" t="s">
        <v>328</v>
      </c>
      <c r="B483" t="s">
        <v>208</v>
      </c>
      <c r="C483" t="s">
        <v>94</v>
      </c>
      <c r="D483" t="s">
        <v>95</v>
      </c>
      <c r="E483" t="s">
        <v>237</v>
      </c>
      <c r="F483">
        <v>50000</v>
      </c>
      <c r="G483" t="s">
        <v>97</v>
      </c>
      <c r="H483">
        <v>90000</v>
      </c>
      <c r="K483">
        <v>0.36</v>
      </c>
      <c r="L483">
        <v>0.51</v>
      </c>
      <c r="M483" t="s">
        <v>98</v>
      </c>
      <c r="N483" t="s">
        <v>329</v>
      </c>
      <c r="O483">
        <v>0.25</v>
      </c>
      <c r="P483">
        <v>0.37</v>
      </c>
      <c r="S483">
        <v>0.09</v>
      </c>
      <c r="T483">
        <v>0.14000000000000001</v>
      </c>
      <c r="U483" t="s">
        <v>347</v>
      </c>
      <c r="V483" t="s">
        <v>401</v>
      </c>
    </row>
    <row r="484" spans="1:22" x14ac:dyDescent="0.25">
      <c r="A484" t="s">
        <v>328</v>
      </c>
      <c r="B484" t="s">
        <v>208</v>
      </c>
      <c r="C484" t="s">
        <v>94</v>
      </c>
      <c r="D484" t="s">
        <v>100</v>
      </c>
      <c r="E484" t="s">
        <v>291</v>
      </c>
      <c r="F484">
        <v>90000</v>
      </c>
      <c r="G484" t="s">
        <v>102</v>
      </c>
      <c r="H484">
        <v>175000</v>
      </c>
      <c r="K484">
        <v>0.41</v>
      </c>
      <c r="L484">
        <v>0.57999999999999996</v>
      </c>
      <c r="M484" t="s">
        <v>98</v>
      </c>
      <c r="N484" t="s">
        <v>329</v>
      </c>
      <c r="O484">
        <v>0.2</v>
      </c>
      <c r="P484">
        <v>0.32</v>
      </c>
      <c r="S484">
        <v>7.0000000000000007E-2</v>
      </c>
      <c r="T484">
        <v>0.11</v>
      </c>
      <c r="U484" t="s">
        <v>347</v>
      </c>
      <c r="V484" t="s">
        <v>401</v>
      </c>
    </row>
    <row r="485" spans="1:22" x14ac:dyDescent="0.25">
      <c r="A485" t="s">
        <v>328</v>
      </c>
      <c r="B485" t="s">
        <v>208</v>
      </c>
      <c r="C485" t="s">
        <v>94</v>
      </c>
      <c r="D485" t="s">
        <v>104</v>
      </c>
      <c r="E485" t="s">
        <v>292</v>
      </c>
      <c r="F485">
        <v>175000</v>
      </c>
      <c r="G485" t="s">
        <v>102</v>
      </c>
      <c r="K485">
        <v>0.57999999999999996</v>
      </c>
      <c r="L485">
        <v>0.74</v>
      </c>
      <c r="M485" t="s">
        <v>98</v>
      </c>
      <c r="N485" t="s">
        <v>329</v>
      </c>
      <c r="O485">
        <v>0.24</v>
      </c>
      <c r="P485">
        <v>0.37</v>
      </c>
      <c r="S485">
        <v>0.05</v>
      </c>
      <c r="T485">
        <v>0.08</v>
      </c>
      <c r="U485" t="s">
        <v>347</v>
      </c>
      <c r="V485" t="s">
        <v>401</v>
      </c>
    </row>
    <row r="486" spans="1:22" x14ac:dyDescent="0.25">
      <c r="A486" t="s">
        <v>328</v>
      </c>
      <c r="B486" t="s">
        <v>210</v>
      </c>
      <c r="C486" t="s">
        <v>94</v>
      </c>
      <c r="D486" t="s">
        <v>95</v>
      </c>
      <c r="E486" t="s">
        <v>180</v>
      </c>
      <c r="F486">
        <v>50000</v>
      </c>
      <c r="G486" t="s">
        <v>97</v>
      </c>
      <c r="H486">
        <v>200000</v>
      </c>
      <c r="I486">
        <v>0.17</v>
      </c>
      <c r="J486">
        <v>0.35</v>
      </c>
      <c r="K486">
        <v>0.47</v>
      </c>
      <c r="L486">
        <v>0.68</v>
      </c>
      <c r="M486" t="s">
        <v>98</v>
      </c>
      <c r="N486" t="s">
        <v>329</v>
      </c>
      <c r="O486">
        <v>0.22</v>
      </c>
      <c r="P486">
        <v>0.38</v>
      </c>
      <c r="Q486">
        <v>0.06</v>
      </c>
      <c r="R486">
        <v>0.11</v>
      </c>
      <c r="S486">
        <v>0.06</v>
      </c>
      <c r="T486">
        <v>0.1</v>
      </c>
      <c r="U486" t="s">
        <v>332</v>
      </c>
      <c r="V486" t="s">
        <v>402</v>
      </c>
    </row>
    <row r="487" spans="1:22" x14ac:dyDescent="0.25">
      <c r="A487" t="s">
        <v>328</v>
      </c>
      <c r="B487" t="s">
        <v>210</v>
      </c>
      <c r="C487" t="s">
        <v>94</v>
      </c>
      <c r="D487" t="s">
        <v>100</v>
      </c>
      <c r="E487" t="s">
        <v>182</v>
      </c>
      <c r="F487">
        <v>200000</v>
      </c>
      <c r="G487" t="s">
        <v>102</v>
      </c>
      <c r="H487">
        <v>600000</v>
      </c>
      <c r="I487">
        <v>0.19</v>
      </c>
      <c r="J487">
        <v>0.39</v>
      </c>
      <c r="K487">
        <v>0.54</v>
      </c>
      <c r="L487">
        <v>0.76</v>
      </c>
      <c r="M487" t="s">
        <v>98</v>
      </c>
      <c r="N487" t="s">
        <v>329</v>
      </c>
      <c r="O487">
        <v>0.19</v>
      </c>
      <c r="P487">
        <v>0.36</v>
      </c>
      <c r="Q487">
        <v>0.04</v>
      </c>
      <c r="R487">
        <v>0.08</v>
      </c>
      <c r="S487">
        <v>0.04</v>
      </c>
      <c r="T487">
        <v>7.0000000000000007E-2</v>
      </c>
      <c r="U487" t="s">
        <v>332</v>
      </c>
      <c r="V487" t="s">
        <v>402</v>
      </c>
    </row>
    <row r="488" spans="1:22" x14ac:dyDescent="0.25">
      <c r="A488" t="s">
        <v>328</v>
      </c>
      <c r="B488" t="s">
        <v>210</v>
      </c>
      <c r="C488" t="s">
        <v>94</v>
      </c>
      <c r="D488" t="s">
        <v>104</v>
      </c>
      <c r="E488" t="s">
        <v>105</v>
      </c>
      <c r="F488">
        <v>600000</v>
      </c>
      <c r="G488" t="s">
        <v>102</v>
      </c>
      <c r="I488">
        <v>0.31</v>
      </c>
      <c r="J488">
        <v>0.49</v>
      </c>
      <c r="K488">
        <v>0.77</v>
      </c>
      <c r="L488">
        <v>0.87</v>
      </c>
      <c r="M488" t="s">
        <v>98</v>
      </c>
      <c r="N488" t="s">
        <v>329</v>
      </c>
      <c r="O488">
        <v>0.19</v>
      </c>
      <c r="P488">
        <v>0.34</v>
      </c>
      <c r="Q488">
        <v>0.02</v>
      </c>
      <c r="R488">
        <v>0.04</v>
      </c>
      <c r="S488">
        <v>0.02</v>
      </c>
      <c r="T488">
        <v>0.04</v>
      </c>
      <c r="U488" t="s">
        <v>332</v>
      </c>
      <c r="V488" t="s">
        <v>402</v>
      </c>
    </row>
    <row r="489" spans="1:22" x14ac:dyDescent="0.25">
      <c r="A489" t="s">
        <v>328</v>
      </c>
      <c r="B489" t="s">
        <v>211</v>
      </c>
      <c r="C489" t="s">
        <v>116</v>
      </c>
      <c r="D489" t="s">
        <v>95</v>
      </c>
      <c r="E489" t="s">
        <v>128</v>
      </c>
      <c r="F489">
        <v>65000</v>
      </c>
      <c r="G489" t="s">
        <v>97</v>
      </c>
      <c r="H489">
        <v>150000</v>
      </c>
      <c r="I489">
        <v>0.38</v>
      </c>
      <c r="J489">
        <v>0.53</v>
      </c>
      <c r="K489">
        <v>0.64</v>
      </c>
      <c r="L489">
        <v>0.83</v>
      </c>
      <c r="M489" t="s">
        <v>98</v>
      </c>
      <c r="N489" t="s">
        <v>329</v>
      </c>
      <c r="Q489">
        <v>0.1</v>
      </c>
      <c r="R489">
        <v>0.17</v>
      </c>
      <c r="S489">
        <v>0.04</v>
      </c>
      <c r="T489">
        <v>0.06</v>
      </c>
      <c r="U489" t="s">
        <v>335</v>
      </c>
      <c r="V489" t="s">
        <v>403</v>
      </c>
    </row>
    <row r="490" spans="1:22" x14ac:dyDescent="0.25">
      <c r="A490" t="s">
        <v>328</v>
      </c>
      <c r="B490" t="s">
        <v>211</v>
      </c>
      <c r="C490" t="s">
        <v>116</v>
      </c>
      <c r="D490" t="s">
        <v>100</v>
      </c>
      <c r="E490" t="s">
        <v>293</v>
      </c>
      <c r="F490">
        <v>150000</v>
      </c>
      <c r="G490" t="s">
        <v>102</v>
      </c>
      <c r="H490">
        <v>500000</v>
      </c>
      <c r="I490">
        <v>0.42</v>
      </c>
      <c r="J490">
        <v>0.54</v>
      </c>
      <c r="K490">
        <v>0.74</v>
      </c>
      <c r="L490">
        <v>0.86</v>
      </c>
      <c r="M490" t="s">
        <v>98</v>
      </c>
      <c r="N490" t="s">
        <v>329</v>
      </c>
      <c r="Q490">
        <v>0.08</v>
      </c>
      <c r="R490">
        <v>0.14000000000000001</v>
      </c>
      <c r="S490">
        <v>0.02</v>
      </c>
      <c r="T490">
        <v>0.03</v>
      </c>
      <c r="U490" t="s">
        <v>335</v>
      </c>
      <c r="V490" t="s">
        <v>403</v>
      </c>
    </row>
    <row r="491" spans="1:22" x14ac:dyDescent="0.25">
      <c r="A491" t="s">
        <v>328</v>
      </c>
      <c r="B491" t="s">
        <v>211</v>
      </c>
      <c r="C491" t="s">
        <v>116</v>
      </c>
      <c r="D491" t="s">
        <v>104</v>
      </c>
      <c r="E491" t="s">
        <v>141</v>
      </c>
      <c r="F491">
        <v>500000</v>
      </c>
      <c r="G491" t="s">
        <v>102</v>
      </c>
      <c r="I491">
        <v>0.46</v>
      </c>
      <c r="J491">
        <v>0.56000000000000005</v>
      </c>
      <c r="K491">
        <v>0.81</v>
      </c>
      <c r="L491">
        <v>0.9</v>
      </c>
      <c r="M491" t="s">
        <v>98</v>
      </c>
      <c r="N491" t="s">
        <v>329</v>
      </c>
      <c r="Q491">
        <v>0.04</v>
      </c>
      <c r="R491">
        <v>0.08</v>
      </c>
      <c r="S491">
        <v>0.01</v>
      </c>
      <c r="T491">
        <v>0.02</v>
      </c>
      <c r="U491" t="s">
        <v>335</v>
      </c>
      <c r="V491" t="s">
        <v>403</v>
      </c>
    </row>
    <row r="492" spans="1:22" x14ac:dyDescent="0.25">
      <c r="A492" t="s">
        <v>328</v>
      </c>
      <c r="B492" t="s">
        <v>213</v>
      </c>
      <c r="C492" t="s">
        <v>116</v>
      </c>
      <c r="D492" t="s">
        <v>95</v>
      </c>
      <c r="E492" t="s">
        <v>269</v>
      </c>
      <c r="F492">
        <v>65000</v>
      </c>
      <c r="G492" t="s">
        <v>97</v>
      </c>
      <c r="H492">
        <v>450000</v>
      </c>
      <c r="I492">
        <v>0.56000000000000005</v>
      </c>
      <c r="J492">
        <v>0.66</v>
      </c>
      <c r="K492">
        <v>0.81</v>
      </c>
      <c r="L492">
        <v>0.9</v>
      </c>
      <c r="M492" t="s">
        <v>98</v>
      </c>
      <c r="N492" t="s">
        <v>329</v>
      </c>
      <c r="Q492">
        <v>0.05</v>
      </c>
      <c r="R492">
        <v>0.09</v>
      </c>
      <c r="S492">
        <v>0.02</v>
      </c>
      <c r="T492">
        <v>0.04</v>
      </c>
      <c r="U492" t="s">
        <v>335</v>
      </c>
      <c r="V492" t="s">
        <v>404</v>
      </c>
    </row>
    <row r="493" spans="1:22" x14ac:dyDescent="0.25">
      <c r="A493" t="s">
        <v>328</v>
      </c>
      <c r="B493" t="s">
        <v>213</v>
      </c>
      <c r="C493" t="s">
        <v>116</v>
      </c>
      <c r="D493" t="s">
        <v>100</v>
      </c>
      <c r="E493" t="s">
        <v>294</v>
      </c>
      <c r="F493">
        <v>450000</v>
      </c>
      <c r="G493" t="s">
        <v>102</v>
      </c>
      <c r="H493">
        <v>850000</v>
      </c>
      <c r="I493">
        <v>0.6</v>
      </c>
      <c r="J493">
        <v>0.68</v>
      </c>
      <c r="K493">
        <v>0.85</v>
      </c>
      <c r="L493">
        <v>0.91</v>
      </c>
      <c r="M493" t="s">
        <v>98</v>
      </c>
      <c r="N493" t="s">
        <v>329</v>
      </c>
      <c r="Q493">
        <v>0.04</v>
      </c>
      <c r="R493">
        <v>0.08</v>
      </c>
      <c r="S493">
        <v>0.01</v>
      </c>
      <c r="T493">
        <v>0.02</v>
      </c>
      <c r="U493" t="s">
        <v>335</v>
      </c>
      <c r="V493" t="s">
        <v>404</v>
      </c>
    </row>
    <row r="494" spans="1:22" x14ac:dyDescent="0.25">
      <c r="A494" t="s">
        <v>328</v>
      </c>
      <c r="B494" t="s">
        <v>213</v>
      </c>
      <c r="C494" t="s">
        <v>116</v>
      </c>
      <c r="D494" t="s">
        <v>104</v>
      </c>
      <c r="E494" t="s">
        <v>295</v>
      </c>
      <c r="F494">
        <v>850000</v>
      </c>
      <c r="G494" t="s">
        <v>102</v>
      </c>
      <c r="I494">
        <v>0.61</v>
      </c>
      <c r="J494">
        <v>0.69</v>
      </c>
      <c r="K494">
        <v>0.87</v>
      </c>
      <c r="L494">
        <v>0.93</v>
      </c>
      <c r="M494" t="s">
        <v>98</v>
      </c>
      <c r="N494" t="s">
        <v>329</v>
      </c>
      <c r="Q494">
        <v>0.03</v>
      </c>
      <c r="R494">
        <v>0.06</v>
      </c>
      <c r="S494">
        <v>0.01</v>
      </c>
      <c r="T494">
        <v>0.01</v>
      </c>
      <c r="U494" t="s">
        <v>335</v>
      </c>
      <c r="V494" t="s">
        <v>404</v>
      </c>
    </row>
    <row r="495" spans="1:22" x14ac:dyDescent="0.25">
      <c r="A495" t="s">
        <v>328</v>
      </c>
      <c r="B495" t="s">
        <v>214</v>
      </c>
      <c r="C495" t="s">
        <v>116</v>
      </c>
      <c r="D495" t="s">
        <v>95</v>
      </c>
      <c r="E495" t="s">
        <v>123</v>
      </c>
      <c r="F495">
        <v>65000</v>
      </c>
      <c r="G495" t="s">
        <v>97</v>
      </c>
      <c r="H495">
        <v>400000</v>
      </c>
      <c r="I495">
        <v>0.42</v>
      </c>
      <c r="J495">
        <v>0.61</v>
      </c>
      <c r="K495">
        <v>0.69</v>
      </c>
      <c r="L495">
        <v>0.85</v>
      </c>
      <c r="M495" t="s">
        <v>98</v>
      </c>
      <c r="N495" t="s">
        <v>329</v>
      </c>
      <c r="O495">
        <v>0.14000000000000001</v>
      </c>
      <c r="P495">
        <v>0.24</v>
      </c>
      <c r="Q495">
        <v>7.0000000000000007E-2</v>
      </c>
      <c r="R495">
        <v>0.12</v>
      </c>
      <c r="S495">
        <v>0.03</v>
      </c>
      <c r="T495">
        <v>0.06</v>
      </c>
      <c r="U495" t="s">
        <v>338</v>
      </c>
      <c r="V495" t="s">
        <v>405</v>
      </c>
    </row>
    <row r="496" spans="1:22" x14ac:dyDescent="0.25">
      <c r="A496" t="s">
        <v>328</v>
      </c>
      <c r="B496" t="s">
        <v>214</v>
      </c>
      <c r="C496" t="s">
        <v>116</v>
      </c>
      <c r="D496" t="s">
        <v>100</v>
      </c>
      <c r="E496" t="s">
        <v>296</v>
      </c>
      <c r="F496">
        <v>400000</v>
      </c>
      <c r="G496" t="s">
        <v>102</v>
      </c>
      <c r="H496">
        <v>1250000</v>
      </c>
      <c r="I496">
        <v>0.5</v>
      </c>
      <c r="J496">
        <v>0.62</v>
      </c>
      <c r="K496">
        <v>0.8</v>
      </c>
      <c r="L496">
        <v>0.9</v>
      </c>
      <c r="M496" t="s">
        <v>98</v>
      </c>
      <c r="N496" t="s">
        <v>329</v>
      </c>
      <c r="O496">
        <v>0.11</v>
      </c>
      <c r="P496">
        <v>0.18</v>
      </c>
      <c r="Q496">
        <v>0.05</v>
      </c>
      <c r="R496">
        <v>7.0000000000000007E-2</v>
      </c>
      <c r="S496">
        <v>0.02</v>
      </c>
      <c r="T496">
        <v>0.03</v>
      </c>
      <c r="U496" t="s">
        <v>338</v>
      </c>
      <c r="V496" t="s">
        <v>405</v>
      </c>
    </row>
    <row r="497" spans="1:22" x14ac:dyDescent="0.25">
      <c r="A497" t="s">
        <v>328</v>
      </c>
      <c r="B497" t="s">
        <v>214</v>
      </c>
      <c r="C497" t="s">
        <v>116</v>
      </c>
      <c r="D497" t="s">
        <v>104</v>
      </c>
      <c r="E497" t="s">
        <v>297</v>
      </c>
      <c r="F497">
        <v>1250000</v>
      </c>
      <c r="G497" t="s">
        <v>102</v>
      </c>
      <c r="I497">
        <v>0.55000000000000004</v>
      </c>
      <c r="J497">
        <v>0.64</v>
      </c>
      <c r="K497">
        <v>0.86</v>
      </c>
      <c r="L497">
        <v>0.92</v>
      </c>
      <c r="M497" t="s">
        <v>98</v>
      </c>
      <c r="N497" t="s">
        <v>329</v>
      </c>
      <c r="O497">
        <v>0.11</v>
      </c>
      <c r="P497">
        <v>0.16</v>
      </c>
      <c r="Q497">
        <v>0.03</v>
      </c>
      <c r="R497">
        <v>0.05</v>
      </c>
      <c r="S497">
        <v>0.01</v>
      </c>
      <c r="T497">
        <v>0.02</v>
      </c>
      <c r="U497" t="s">
        <v>338</v>
      </c>
      <c r="V497" t="s">
        <v>405</v>
      </c>
    </row>
    <row r="498" spans="1:22" x14ac:dyDescent="0.25">
      <c r="A498" t="s">
        <v>328</v>
      </c>
      <c r="B498" t="s">
        <v>215</v>
      </c>
      <c r="C498" t="s">
        <v>116</v>
      </c>
      <c r="D498" t="s">
        <v>95</v>
      </c>
      <c r="E498" t="s">
        <v>272</v>
      </c>
      <c r="F498">
        <v>75000</v>
      </c>
      <c r="G498" t="s">
        <v>97</v>
      </c>
      <c r="H498">
        <v>500000</v>
      </c>
      <c r="I498">
        <v>0.6</v>
      </c>
      <c r="J498">
        <v>0.78</v>
      </c>
      <c r="K498">
        <v>0.75</v>
      </c>
      <c r="L498">
        <v>0.89</v>
      </c>
      <c r="M498" t="s">
        <v>98</v>
      </c>
      <c r="N498" t="s">
        <v>329</v>
      </c>
      <c r="Q498">
        <v>0.06</v>
      </c>
      <c r="R498">
        <v>0.11</v>
      </c>
      <c r="S498">
        <v>0.02</v>
      </c>
      <c r="T498">
        <v>0.05</v>
      </c>
      <c r="U498" t="s">
        <v>335</v>
      </c>
      <c r="V498" t="s">
        <v>406</v>
      </c>
    </row>
    <row r="499" spans="1:22" x14ac:dyDescent="0.25">
      <c r="A499" t="s">
        <v>328</v>
      </c>
      <c r="B499" t="s">
        <v>215</v>
      </c>
      <c r="C499" t="s">
        <v>116</v>
      </c>
      <c r="D499" t="s">
        <v>100</v>
      </c>
      <c r="E499" t="s">
        <v>298</v>
      </c>
      <c r="F499">
        <v>500000</v>
      </c>
      <c r="G499" t="s">
        <v>102</v>
      </c>
      <c r="H499">
        <v>1500000</v>
      </c>
      <c r="I499">
        <v>0.67</v>
      </c>
      <c r="J499">
        <v>0.82</v>
      </c>
      <c r="K499">
        <v>0.87</v>
      </c>
      <c r="L499">
        <v>0.93</v>
      </c>
      <c r="M499" t="s">
        <v>98</v>
      </c>
      <c r="N499" t="s">
        <v>329</v>
      </c>
      <c r="Q499">
        <v>0.04</v>
      </c>
      <c r="R499">
        <v>7.0000000000000007E-2</v>
      </c>
      <c r="S499">
        <v>0.01</v>
      </c>
      <c r="T499">
        <v>0.03</v>
      </c>
      <c r="U499" t="s">
        <v>335</v>
      </c>
      <c r="V499" t="s">
        <v>406</v>
      </c>
    </row>
    <row r="500" spans="1:22" x14ac:dyDescent="0.25">
      <c r="A500" t="s">
        <v>328</v>
      </c>
      <c r="B500" t="s">
        <v>215</v>
      </c>
      <c r="C500" t="s">
        <v>116</v>
      </c>
      <c r="D500" t="s">
        <v>104</v>
      </c>
      <c r="E500" t="s">
        <v>299</v>
      </c>
      <c r="F500">
        <v>1500000</v>
      </c>
      <c r="G500" t="s">
        <v>102</v>
      </c>
      <c r="I500">
        <v>0.76</v>
      </c>
      <c r="J500">
        <v>0.85</v>
      </c>
      <c r="K500">
        <v>0.91</v>
      </c>
      <c r="L500">
        <v>0.96</v>
      </c>
      <c r="M500" t="s">
        <v>98</v>
      </c>
      <c r="N500" t="s">
        <v>329</v>
      </c>
      <c r="Q500">
        <v>0.02</v>
      </c>
      <c r="R500">
        <v>0.03</v>
      </c>
      <c r="S500">
        <v>0</v>
      </c>
      <c r="T500">
        <v>0.01</v>
      </c>
      <c r="U500" t="s">
        <v>335</v>
      </c>
      <c r="V500" t="s">
        <v>406</v>
      </c>
    </row>
    <row r="501" spans="1:22" x14ac:dyDescent="0.25">
      <c r="A501" t="s">
        <v>328</v>
      </c>
      <c r="B501" t="s">
        <v>217</v>
      </c>
      <c r="C501" t="s">
        <v>116</v>
      </c>
      <c r="D501" t="s">
        <v>95</v>
      </c>
      <c r="E501" t="s">
        <v>300</v>
      </c>
      <c r="F501">
        <v>65000</v>
      </c>
      <c r="G501" t="s">
        <v>97</v>
      </c>
      <c r="H501">
        <v>285000</v>
      </c>
      <c r="I501">
        <v>0.4</v>
      </c>
      <c r="J501">
        <v>0.55000000000000004</v>
      </c>
      <c r="K501">
        <v>0.57999999999999996</v>
      </c>
      <c r="L501">
        <v>0.83</v>
      </c>
      <c r="M501" t="s">
        <v>98</v>
      </c>
      <c r="N501" t="s">
        <v>329</v>
      </c>
      <c r="Q501">
        <v>0.1</v>
      </c>
      <c r="R501">
        <v>0.13</v>
      </c>
      <c r="S501">
        <v>0.03</v>
      </c>
      <c r="T501">
        <v>0.05</v>
      </c>
      <c r="U501" t="s">
        <v>335</v>
      </c>
      <c r="V501" t="s">
        <v>407</v>
      </c>
    </row>
    <row r="502" spans="1:22" x14ac:dyDescent="0.25">
      <c r="A502" t="s">
        <v>328</v>
      </c>
      <c r="B502" t="s">
        <v>217</v>
      </c>
      <c r="C502" t="s">
        <v>116</v>
      </c>
      <c r="D502" t="s">
        <v>100</v>
      </c>
      <c r="E502" t="s">
        <v>301</v>
      </c>
      <c r="F502">
        <v>285000</v>
      </c>
      <c r="G502" t="s">
        <v>102</v>
      </c>
      <c r="H502">
        <v>765000</v>
      </c>
      <c r="I502">
        <v>0.51</v>
      </c>
      <c r="J502">
        <v>0.63</v>
      </c>
      <c r="K502">
        <v>0.81</v>
      </c>
      <c r="L502">
        <v>0.87</v>
      </c>
      <c r="M502" t="s">
        <v>98</v>
      </c>
      <c r="N502" t="s">
        <v>329</v>
      </c>
      <c r="Q502">
        <v>0.06</v>
      </c>
      <c r="R502">
        <v>0.09</v>
      </c>
      <c r="S502">
        <v>0.01</v>
      </c>
      <c r="T502">
        <v>0.03</v>
      </c>
      <c r="U502" t="s">
        <v>335</v>
      </c>
      <c r="V502" t="s">
        <v>407</v>
      </c>
    </row>
    <row r="503" spans="1:22" x14ac:dyDescent="0.25">
      <c r="A503" t="s">
        <v>328</v>
      </c>
      <c r="B503" t="s">
        <v>217</v>
      </c>
      <c r="C503" t="s">
        <v>116</v>
      </c>
      <c r="D503" t="s">
        <v>104</v>
      </c>
      <c r="E503" t="s">
        <v>302</v>
      </c>
      <c r="F503">
        <v>765000</v>
      </c>
      <c r="G503" t="s">
        <v>102</v>
      </c>
      <c r="I503">
        <v>0.56999999999999995</v>
      </c>
      <c r="J503">
        <v>0.68</v>
      </c>
      <c r="K503">
        <v>0.87</v>
      </c>
      <c r="L503">
        <v>0.93</v>
      </c>
      <c r="M503" t="s">
        <v>98</v>
      </c>
      <c r="N503" t="s">
        <v>329</v>
      </c>
      <c r="Q503">
        <v>0.04</v>
      </c>
      <c r="R503">
        <v>7.0000000000000007E-2</v>
      </c>
      <c r="S503">
        <v>0</v>
      </c>
      <c r="T503">
        <v>0.01</v>
      </c>
      <c r="U503" t="s">
        <v>335</v>
      </c>
      <c r="V503" t="s">
        <v>407</v>
      </c>
    </row>
    <row r="504" spans="1:22" x14ac:dyDescent="0.25">
      <c r="A504" t="s">
        <v>328</v>
      </c>
      <c r="B504" t="s">
        <v>218</v>
      </c>
      <c r="C504" t="s">
        <v>116</v>
      </c>
      <c r="D504" t="s">
        <v>95</v>
      </c>
      <c r="E504" t="s">
        <v>147</v>
      </c>
      <c r="F504">
        <v>65000</v>
      </c>
      <c r="G504" t="s">
        <v>97</v>
      </c>
      <c r="H504">
        <v>500000</v>
      </c>
      <c r="I504">
        <v>0.42</v>
      </c>
      <c r="J504">
        <v>0.59</v>
      </c>
      <c r="K504">
        <v>0.77</v>
      </c>
      <c r="L504">
        <v>0.88</v>
      </c>
      <c r="M504" t="s">
        <v>98</v>
      </c>
      <c r="N504" t="s">
        <v>329</v>
      </c>
      <c r="Q504">
        <v>0.09</v>
      </c>
      <c r="R504">
        <v>0.16</v>
      </c>
      <c r="S504">
        <v>0.02</v>
      </c>
      <c r="T504">
        <v>0.03</v>
      </c>
      <c r="U504" t="s">
        <v>335</v>
      </c>
      <c r="V504" t="s">
        <v>408</v>
      </c>
    </row>
    <row r="505" spans="1:22" x14ac:dyDescent="0.25">
      <c r="A505" t="s">
        <v>328</v>
      </c>
      <c r="B505" t="s">
        <v>218</v>
      </c>
      <c r="C505" t="s">
        <v>116</v>
      </c>
      <c r="D505" t="s">
        <v>100</v>
      </c>
      <c r="E505" t="s">
        <v>263</v>
      </c>
      <c r="F505">
        <v>500000</v>
      </c>
      <c r="G505" t="s">
        <v>102</v>
      </c>
      <c r="H505">
        <v>1000000</v>
      </c>
      <c r="I505">
        <v>0.47</v>
      </c>
      <c r="J505">
        <v>0.62</v>
      </c>
      <c r="K505">
        <v>0.83</v>
      </c>
      <c r="L505">
        <v>0.91</v>
      </c>
      <c r="M505" t="s">
        <v>98</v>
      </c>
      <c r="N505" t="s">
        <v>329</v>
      </c>
      <c r="Q505">
        <v>7.0000000000000007E-2</v>
      </c>
      <c r="R505">
        <v>0.14000000000000001</v>
      </c>
      <c r="S505">
        <v>0.01</v>
      </c>
      <c r="T505">
        <v>0.02</v>
      </c>
      <c r="U505" t="s">
        <v>335</v>
      </c>
      <c r="V505" t="s">
        <v>408</v>
      </c>
    </row>
    <row r="506" spans="1:22" x14ac:dyDescent="0.25">
      <c r="A506" t="s">
        <v>328</v>
      </c>
      <c r="B506" t="s">
        <v>218</v>
      </c>
      <c r="C506" t="s">
        <v>116</v>
      </c>
      <c r="D506" t="s">
        <v>104</v>
      </c>
      <c r="E506" t="s">
        <v>264</v>
      </c>
      <c r="F506">
        <v>1000000</v>
      </c>
      <c r="G506" t="s">
        <v>102</v>
      </c>
      <c r="I506">
        <v>0.55000000000000004</v>
      </c>
      <c r="J506">
        <v>0.81</v>
      </c>
      <c r="K506">
        <v>0.89</v>
      </c>
      <c r="L506">
        <v>0.95</v>
      </c>
      <c r="M506" t="s">
        <v>98</v>
      </c>
      <c r="N506" t="s">
        <v>329</v>
      </c>
      <c r="Q506">
        <v>0.04</v>
      </c>
      <c r="R506">
        <v>0.09</v>
      </c>
      <c r="S506">
        <v>0</v>
      </c>
      <c r="T506">
        <v>0.01</v>
      </c>
      <c r="U506" t="s">
        <v>335</v>
      </c>
      <c r="V506" t="s">
        <v>408</v>
      </c>
    </row>
    <row r="507" spans="1:22" x14ac:dyDescent="0.25">
      <c r="A507" t="s">
        <v>328</v>
      </c>
      <c r="B507" t="s">
        <v>219</v>
      </c>
      <c r="C507" t="s">
        <v>94</v>
      </c>
      <c r="D507" t="s">
        <v>95</v>
      </c>
      <c r="E507" t="s">
        <v>96</v>
      </c>
      <c r="F507">
        <v>50000</v>
      </c>
      <c r="G507" t="s">
        <v>97</v>
      </c>
      <c r="H507">
        <v>150000</v>
      </c>
      <c r="I507">
        <v>0.13</v>
      </c>
      <c r="J507">
        <v>0.19</v>
      </c>
      <c r="K507">
        <v>0.36</v>
      </c>
      <c r="L507">
        <v>0.51</v>
      </c>
      <c r="M507" t="s">
        <v>98</v>
      </c>
      <c r="N507" t="s">
        <v>329</v>
      </c>
      <c r="O507">
        <v>0.22</v>
      </c>
      <c r="P507">
        <v>0.35</v>
      </c>
      <c r="S507">
        <v>7.0000000000000007E-2</v>
      </c>
      <c r="T507">
        <v>0.11</v>
      </c>
      <c r="U507" t="s">
        <v>375</v>
      </c>
      <c r="V507" t="s">
        <v>409</v>
      </c>
    </row>
    <row r="508" spans="1:22" x14ac:dyDescent="0.25">
      <c r="A508" t="s">
        <v>328</v>
      </c>
      <c r="B508" t="s">
        <v>219</v>
      </c>
      <c r="C508" t="s">
        <v>94</v>
      </c>
      <c r="D508" t="s">
        <v>100</v>
      </c>
      <c r="E508" t="s">
        <v>101</v>
      </c>
      <c r="F508">
        <v>150000</v>
      </c>
      <c r="G508" t="s">
        <v>102</v>
      </c>
      <c r="H508">
        <v>600000</v>
      </c>
      <c r="I508">
        <v>0.14000000000000001</v>
      </c>
      <c r="J508">
        <v>0.21</v>
      </c>
      <c r="K508">
        <v>0.54</v>
      </c>
      <c r="L508">
        <v>0.71</v>
      </c>
      <c r="M508" t="s">
        <v>98</v>
      </c>
      <c r="N508" t="s">
        <v>329</v>
      </c>
      <c r="O508">
        <v>0.26</v>
      </c>
      <c r="P508">
        <v>0.4</v>
      </c>
      <c r="S508">
        <v>0.04</v>
      </c>
      <c r="T508">
        <v>0.06</v>
      </c>
      <c r="U508" t="s">
        <v>375</v>
      </c>
      <c r="V508" t="s">
        <v>409</v>
      </c>
    </row>
    <row r="509" spans="1:22" x14ac:dyDescent="0.25">
      <c r="A509" t="s">
        <v>328</v>
      </c>
      <c r="B509" t="s">
        <v>219</v>
      </c>
      <c r="C509" t="s">
        <v>94</v>
      </c>
      <c r="D509" t="s">
        <v>104</v>
      </c>
      <c r="E509" t="s">
        <v>105</v>
      </c>
      <c r="F509">
        <v>600000</v>
      </c>
      <c r="G509" t="s">
        <v>102</v>
      </c>
      <c r="I509">
        <v>0.14000000000000001</v>
      </c>
      <c r="J509">
        <v>0.21</v>
      </c>
      <c r="K509">
        <v>0.74</v>
      </c>
      <c r="L509">
        <v>0.86</v>
      </c>
      <c r="M509" t="s">
        <v>98</v>
      </c>
      <c r="N509" t="s">
        <v>329</v>
      </c>
      <c r="O509">
        <v>0.36</v>
      </c>
      <c r="P509">
        <v>0.49</v>
      </c>
      <c r="S509">
        <v>0.02</v>
      </c>
      <c r="T509">
        <v>0.04</v>
      </c>
      <c r="U509" t="s">
        <v>375</v>
      </c>
      <c r="V509" t="s">
        <v>409</v>
      </c>
    </row>
    <row r="510" spans="1:22" x14ac:dyDescent="0.25">
      <c r="A510" t="s">
        <v>328</v>
      </c>
      <c r="B510" t="s">
        <v>220</v>
      </c>
      <c r="C510" t="s">
        <v>94</v>
      </c>
      <c r="D510" t="s">
        <v>95</v>
      </c>
      <c r="E510" t="s">
        <v>96</v>
      </c>
      <c r="F510">
        <v>50000</v>
      </c>
      <c r="G510" t="s">
        <v>97</v>
      </c>
      <c r="H510">
        <v>150000</v>
      </c>
      <c r="I510">
        <v>0.17</v>
      </c>
      <c r="J510">
        <v>0.31</v>
      </c>
      <c r="K510">
        <v>0.46</v>
      </c>
      <c r="L510">
        <v>0.67</v>
      </c>
      <c r="M510" t="s">
        <v>98</v>
      </c>
      <c r="N510" t="s">
        <v>329</v>
      </c>
      <c r="O510">
        <v>0.21</v>
      </c>
      <c r="P510">
        <v>0.33</v>
      </c>
      <c r="Q510">
        <v>0.12</v>
      </c>
      <c r="R510">
        <v>0.19</v>
      </c>
      <c r="S510">
        <v>0.05</v>
      </c>
      <c r="T510">
        <v>0.08</v>
      </c>
      <c r="U510" t="s">
        <v>332</v>
      </c>
      <c r="V510" t="s">
        <v>410</v>
      </c>
    </row>
    <row r="511" spans="1:22" x14ac:dyDescent="0.25">
      <c r="A511" t="s">
        <v>328</v>
      </c>
      <c r="B511" t="s">
        <v>220</v>
      </c>
      <c r="C511" t="s">
        <v>94</v>
      </c>
      <c r="D511" t="s">
        <v>100</v>
      </c>
      <c r="E511" t="s">
        <v>207</v>
      </c>
      <c r="F511">
        <v>150000</v>
      </c>
      <c r="G511" t="s">
        <v>102</v>
      </c>
      <c r="H511">
        <v>300000</v>
      </c>
      <c r="I511">
        <v>0.19</v>
      </c>
      <c r="J511">
        <v>0.35</v>
      </c>
      <c r="K511">
        <v>0.51</v>
      </c>
      <c r="L511">
        <v>0.73</v>
      </c>
      <c r="M511" t="s">
        <v>98</v>
      </c>
      <c r="N511" t="s">
        <v>329</v>
      </c>
      <c r="O511">
        <v>0.18</v>
      </c>
      <c r="P511">
        <v>0.28999999999999998</v>
      </c>
      <c r="Q511">
        <v>0.09</v>
      </c>
      <c r="R511">
        <v>0.15</v>
      </c>
      <c r="S511">
        <v>0.04</v>
      </c>
      <c r="T511">
        <v>0.06</v>
      </c>
      <c r="U511" t="s">
        <v>332</v>
      </c>
      <c r="V511" t="s">
        <v>410</v>
      </c>
    </row>
    <row r="512" spans="1:22" x14ac:dyDescent="0.25">
      <c r="A512" t="s">
        <v>328</v>
      </c>
      <c r="B512" t="s">
        <v>220</v>
      </c>
      <c r="C512" t="s">
        <v>94</v>
      </c>
      <c r="D512" t="s">
        <v>104</v>
      </c>
      <c r="E512" t="s">
        <v>209</v>
      </c>
      <c r="F512">
        <v>300000</v>
      </c>
      <c r="G512" t="s">
        <v>102</v>
      </c>
      <c r="I512">
        <v>0.34</v>
      </c>
      <c r="J512">
        <v>0.45</v>
      </c>
      <c r="K512">
        <v>0.73</v>
      </c>
      <c r="L512">
        <v>0.86</v>
      </c>
      <c r="M512" t="s">
        <v>98</v>
      </c>
      <c r="N512" t="s">
        <v>329</v>
      </c>
      <c r="O512">
        <v>0.2</v>
      </c>
      <c r="P512">
        <v>0.28999999999999998</v>
      </c>
      <c r="Q512">
        <v>0.04</v>
      </c>
      <c r="R512">
        <v>7.0000000000000007E-2</v>
      </c>
      <c r="S512">
        <v>0.01</v>
      </c>
      <c r="T512">
        <v>0.03</v>
      </c>
      <c r="U512" t="s">
        <v>332</v>
      </c>
      <c r="V512" t="s">
        <v>410</v>
      </c>
    </row>
    <row r="513" spans="1:22" x14ac:dyDescent="0.25">
      <c r="A513" t="s">
        <v>328</v>
      </c>
      <c r="B513" t="s">
        <v>221</v>
      </c>
      <c r="C513" t="s">
        <v>94</v>
      </c>
      <c r="D513" t="s">
        <v>95</v>
      </c>
      <c r="E513" t="s">
        <v>96</v>
      </c>
      <c r="F513">
        <v>50000</v>
      </c>
      <c r="G513" t="s">
        <v>97</v>
      </c>
      <c r="H513">
        <v>150000</v>
      </c>
      <c r="K513">
        <v>0.43</v>
      </c>
      <c r="L513">
        <v>0.62</v>
      </c>
      <c r="M513" t="s">
        <v>98</v>
      </c>
      <c r="N513" t="s">
        <v>329</v>
      </c>
      <c r="O513">
        <v>0.28000000000000003</v>
      </c>
      <c r="P513">
        <v>0.4</v>
      </c>
      <c r="S513">
        <v>0.09</v>
      </c>
      <c r="T513">
        <v>0.13</v>
      </c>
      <c r="U513" t="s">
        <v>347</v>
      </c>
      <c r="V513" t="s">
        <v>411</v>
      </c>
    </row>
    <row r="514" spans="1:22" x14ac:dyDescent="0.25">
      <c r="A514" t="s">
        <v>328</v>
      </c>
      <c r="B514" t="s">
        <v>221</v>
      </c>
      <c r="C514" t="s">
        <v>94</v>
      </c>
      <c r="D514" t="s">
        <v>100</v>
      </c>
      <c r="E514" t="s">
        <v>186</v>
      </c>
      <c r="F514">
        <v>150000</v>
      </c>
      <c r="G514" t="s">
        <v>102</v>
      </c>
      <c r="H514">
        <v>400000</v>
      </c>
      <c r="K514">
        <v>0.45</v>
      </c>
      <c r="L514">
        <v>0.66</v>
      </c>
      <c r="M514" t="s">
        <v>98</v>
      </c>
      <c r="N514" t="s">
        <v>329</v>
      </c>
      <c r="O514">
        <v>0.2</v>
      </c>
      <c r="P514">
        <v>0.38</v>
      </c>
      <c r="S514">
        <v>0.06</v>
      </c>
      <c r="T514">
        <v>0.09</v>
      </c>
      <c r="U514" t="s">
        <v>347</v>
      </c>
      <c r="V514" t="s">
        <v>411</v>
      </c>
    </row>
    <row r="515" spans="1:22" x14ac:dyDescent="0.25">
      <c r="A515" t="s">
        <v>328</v>
      </c>
      <c r="B515" t="s">
        <v>221</v>
      </c>
      <c r="C515" t="s">
        <v>94</v>
      </c>
      <c r="D515" t="s">
        <v>104</v>
      </c>
      <c r="E515" t="s">
        <v>114</v>
      </c>
      <c r="F515">
        <v>400000</v>
      </c>
      <c r="G515" t="s">
        <v>102</v>
      </c>
      <c r="K515">
        <v>0.64</v>
      </c>
      <c r="L515">
        <v>0.81</v>
      </c>
      <c r="M515" t="s">
        <v>98</v>
      </c>
      <c r="N515" t="s">
        <v>329</v>
      </c>
      <c r="O515">
        <v>0.25</v>
      </c>
      <c r="P515">
        <v>0.38</v>
      </c>
      <c r="S515">
        <v>0.05</v>
      </c>
      <c r="T515">
        <v>7.0000000000000007E-2</v>
      </c>
      <c r="U515" t="s">
        <v>347</v>
      </c>
      <c r="V515" t="s">
        <v>411</v>
      </c>
    </row>
    <row r="516" spans="1:22" x14ac:dyDescent="0.25">
      <c r="A516" t="s">
        <v>328</v>
      </c>
      <c r="B516" t="s">
        <v>222</v>
      </c>
      <c r="C516" t="s">
        <v>116</v>
      </c>
      <c r="D516" t="s">
        <v>95</v>
      </c>
      <c r="E516" t="s">
        <v>143</v>
      </c>
      <c r="F516">
        <v>65000</v>
      </c>
      <c r="G516" t="s">
        <v>97</v>
      </c>
      <c r="H516">
        <v>250000</v>
      </c>
      <c r="I516">
        <v>0.3</v>
      </c>
      <c r="J516">
        <v>0.54</v>
      </c>
      <c r="K516">
        <v>0.55000000000000004</v>
      </c>
      <c r="L516">
        <v>0.79</v>
      </c>
      <c r="M516" t="s">
        <v>98</v>
      </c>
      <c r="N516" t="s">
        <v>329</v>
      </c>
      <c r="Q516">
        <v>0.1</v>
      </c>
      <c r="R516">
        <v>0.18</v>
      </c>
      <c r="S516">
        <v>0.04</v>
      </c>
      <c r="T516">
        <v>7.0000000000000007E-2</v>
      </c>
      <c r="U516" t="s">
        <v>335</v>
      </c>
      <c r="V516" t="s">
        <v>412</v>
      </c>
    </row>
    <row r="517" spans="1:22" x14ac:dyDescent="0.25">
      <c r="A517" t="s">
        <v>328</v>
      </c>
      <c r="B517" t="s">
        <v>222</v>
      </c>
      <c r="C517" t="s">
        <v>116</v>
      </c>
      <c r="D517" t="s">
        <v>100</v>
      </c>
      <c r="E517" t="s">
        <v>119</v>
      </c>
      <c r="F517">
        <v>250000</v>
      </c>
      <c r="G517" t="s">
        <v>102</v>
      </c>
      <c r="H517">
        <v>750000</v>
      </c>
      <c r="I517">
        <v>0.39</v>
      </c>
      <c r="J517">
        <v>0.55000000000000004</v>
      </c>
      <c r="K517">
        <v>0.8</v>
      </c>
      <c r="L517">
        <v>0.88</v>
      </c>
      <c r="M517" t="s">
        <v>98</v>
      </c>
      <c r="N517" t="s">
        <v>329</v>
      </c>
      <c r="Q517">
        <v>7.0000000000000007E-2</v>
      </c>
      <c r="R517">
        <v>0.13</v>
      </c>
      <c r="S517">
        <v>0.01</v>
      </c>
      <c r="T517">
        <v>0.03</v>
      </c>
      <c r="U517" t="s">
        <v>335</v>
      </c>
      <c r="V517" t="s">
        <v>412</v>
      </c>
    </row>
    <row r="518" spans="1:22" x14ac:dyDescent="0.25">
      <c r="A518" t="s">
        <v>328</v>
      </c>
      <c r="B518" t="s">
        <v>222</v>
      </c>
      <c r="C518" t="s">
        <v>116</v>
      </c>
      <c r="D518" t="s">
        <v>104</v>
      </c>
      <c r="E518" t="s">
        <v>121</v>
      </c>
      <c r="F518">
        <v>750000</v>
      </c>
      <c r="G518" t="s">
        <v>102</v>
      </c>
      <c r="I518">
        <v>0.54</v>
      </c>
      <c r="J518">
        <v>0.64</v>
      </c>
      <c r="K518">
        <v>0.85</v>
      </c>
      <c r="L518">
        <v>0.93</v>
      </c>
      <c r="M518" t="s">
        <v>98</v>
      </c>
      <c r="N518" t="s">
        <v>329</v>
      </c>
      <c r="Q518">
        <v>0.04</v>
      </c>
      <c r="R518">
        <v>7.0000000000000007E-2</v>
      </c>
      <c r="S518">
        <v>0.01</v>
      </c>
      <c r="T518">
        <v>0.01</v>
      </c>
      <c r="U518" t="s">
        <v>335</v>
      </c>
      <c r="V518" t="s">
        <v>412</v>
      </c>
    </row>
    <row r="519" spans="1:22" x14ac:dyDescent="0.25">
      <c r="A519" t="s">
        <v>328</v>
      </c>
      <c r="B519" t="s">
        <v>224</v>
      </c>
      <c r="C519" t="s">
        <v>116</v>
      </c>
      <c r="D519" t="s">
        <v>95</v>
      </c>
      <c r="E519" t="s">
        <v>303</v>
      </c>
      <c r="F519">
        <v>400000</v>
      </c>
      <c r="G519" t="s">
        <v>97</v>
      </c>
      <c r="H519">
        <v>1500000</v>
      </c>
      <c r="I519">
        <v>0.61</v>
      </c>
      <c r="J519">
        <v>0.67</v>
      </c>
      <c r="K519">
        <v>0.86</v>
      </c>
      <c r="L519">
        <v>0.92</v>
      </c>
      <c r="M519" t="s">
        <v>98</v>
      </c>
      <c r="N519" t="s">
        <v>329</v>
      </c>
      <c r="O519">
        <v>0.1</v>
      </c>
      <c r="P519">
        <v>0.15</v>
      </c>
      <c r="Q519">
        <v>0.03</v>
      </c>
      <c r="R519">
        <v>0.05</v>
      </c>
      <c r="S519">
        <v>0</v>
      </c>
      <c r="T519">
        <v>0.01</v>
      </c>
      <c r="U519" t="s">
        <v>338</v>
      </c>
      <c r="V519" t="s">
        <v>413</v>
      </c>
    </row>
    <row r="520" spans="1:22" x14ac:dyDescent="0.25">
      <c r="A520" t="s">
        <v>328</v>
      </c>
      <c r="B520" t="s">
        <v>224</v>
      </c>
      <c r="C520" t="s">
        <v>116</v>
      </c>
      <c r="D520" t="s">
        <v>100</v>
      </c>
      <c r="E520" t="s">
        <v>304</v>
      </c>
      <c r="F520">
        <v>1500000</v>
      </c>
      <c r="G520" t="s">
        <v>102</v>
      </c>
      <c r="H520">
        <v>3500000</v>
      </c>
      <c r="I520">
        <v>0.63</v>
      </c>
      <c r="J520">
        <v>0.67</v>
      </c>
      <c r="K520">
        <v>0.87</v>
      </c>
      <c r="L520">
        <v>0.93</v>
      </c>
      <c r="M520" t="s">
        <v>98</v>
      </c>
      <c r="N520" t="s">
        <v>329</v>
      </c>
      <c r="O520">
        <v>0.1</v>
      </c>
      <c r="P520">
        <v>0.14000000000000001</v>
      </c>
      <c r="Q520">
        <v>0.03</v>
      </c>
      <c r="R520">
        <v>0.04</v>
      </c>
      <c r="S520">
        <v>0</v>
      </c>
      <c r="T520">
        <v>0</v>
      </c>
      <c r="U520" t="s">
        <v>338</v>
      </c>
      <c r="V520" t="s">
        <v>413</v>
      </c>
    </row>
    <row r="521" spans="1:22" x14ac:dyDescent="0.25">
      <c r="A521" t="s">
        <v>328</v>
      </c>
      <c r="B521" t="s">
        <v>224</v>
      </c>
      <c r="C521" t="s">
        <v>116</v>
      </c>
      <c r="D521" t="s">
        <v>104</v>
      </c>
      <c r="E521" t="s">
        <v>305</v>
      </c>
      <c r="F521">
        <v>3500000</v>
      </c>
      <c r="G521" t="s">
        <v>102</v>
      </c>
      <c r="I521">
        <v>0.66</v>
      </c>
      <c r="J521">
        <v>0.7</v>
      </c>
      <c r="K521">
        <v>0.89</v>
      </c>
      <c r="L521">
        <v>0.94</v>
      </c>
      <c r="M521" t="s">
        <v>98</v>
      </c>
      <c r="N521" t="s">
        <v>329</v>
      </c>
      <c r="O521">
        <v>0.1</v>
      </c>
      <c r="P521">
        <v>0.13</v>
      </c>
      <c r="Q521">
        <v>0.02</v>
      </c>
      <c r="R521">
        <v>0.04</v>
      </c>
      <c r="S521">
        <v>0</v>
      </c>
      <c r="T521">
        <v>0</v>
      </c>
      <c r="U521" t="s">
        <v>338</v>
      </c>
      <c r="V521" t="s">
        <v>413</v>
      </c>
    </row>
    <row r="522" spans="1:22" x14ac:dyDescent="0.25">
      <c r="A522" t="s">
        <v>328</v>
      </c>
      <c r="B522" t="s">
        <v>225</v>
      </c>
      <c r="C522" t="s">
        <v>94</v>
      </c>
      <c r="D522" t="s">
        <v>95</v>
      </c>
      <c r="E522" t="s">
        <v>306</v>
      </c>
      <c r="F522">
        <v>75000</v>
      </c>
      <c r="G522" t="s">
        <v>97</v>
      </c>
      <c r="H522">
        <v>240000</v>
      </c>
      <c r="K522">
        <v>0.28999999999999998</v>
      </c>
      <c r="L522">
        <v>0.5</v>
      </c>
      <c r="M522" t="s">
        <v>98</v>
      </c>
      <c r="N522" t="s">
        <v>329</v>
      </c>
      <c r="O522">
        <v>0.24</v>
      </c>
      <c r="P522">
        <v>0.44</v>
      </c>
      <c r="Q522">
        <v>0.1</v>
      </c>
      <c r="R522">
        <v>0.16</v>
      </c>
      <c r="S522">
        <v>0.03</v>
      </c>
      <c r="T522">
        <v>0.05</v>
      </c>
      <c r="U522" t="s">
        <v>338</v>
      </c>
      <c r="V522" t="s">
        <v>414</v>
      </c>
    </row>
    <row r="523" spans="1:22" x14ac:dyDescent="0.25">
      <c r="A523" t="s">
        <v>328</v>
      </c>
      <c r="B523" t="s">
        <v>225</v>
      </c>
      <c r="C523" t="s">
        <v>94</v>
      </c>
      <c r="D523" t="s">
        <v>100</v>
      </c>
      <c r="E523" t="s">
        <v>307</v>
      </c>
      <c r="F523">
        <v>240000</v>
      </c>
      <c r="G523" t="s">
        <v>102</v>
      </c>
      <c r="H523">
        <v>600000</v>
      </c>
      <c r="K523">
        <v>0.52</v>
      </c>
      <c r="L523">
        <v>0.73</v>
      </c>
      <c r="M523" t="s">
        <v>98</v>
      </c>
      <c r="N523" t="s">
        <v>329</v>
      </c>
      <c r="O523">
        <v>0.28999999999999998</v>
      </c>
      <c r="P523">
        <v>0.45</v>
      </c>
      <c r="Q523">
        <v>0.09</v>
      </c>
      <c r="R523">
        <v>0.13</v>
      </c>
      <c r="S523">
        <v>0.02</v>
      </c>
      <c r="T523">
        <v>0.03</v>
      </c>
      <c r="U523" t="s">
        <v>338</v>
      </c>
      <c r="V523" t="s">
        <v>414</v>
      </c>
    </row>
    <row r="524" spans="1:22" x14ac:dyDescent="0.25">
      <c r="A524" t="s">
        <v>328</v>
      </c>
      <c r="B524" t="s">
        <v>225</v>
      </c>
      <c r="C524" t="s">
        <v>94</v>
      </c>
      <c r="D524" t="s">
        <v>104</v>
      </c>
      <c r="E524" t="s">
        <v>105</v>
      </c>
      <c r="F524">
        <v>600000</v>
      </c>
      <c r="G524" t="s">
        <v>102</v>
      </c>
      <c r="K524">
        <v>0.73</v>
      </c>
      <c r="L524">
        <v>0.84</v>
      </c>
      <c r="M524" t="s">
        <v>98</v>
      </c>
      <c r="N524" t="s">
        <v>329</v>
      </c>
      <c r="O524">
        <v>0.41</v>
      </c>
      <c r="P524">
        <v>0.52</v>
      </c>
      <c r="Q524">
        <v>0.06</v>
      </c>
      <c r="R524">
        <v>0.09</v>
      </c>
      <c r="S524">
        <v>0.01</v>
      </c>
      <c r="T524">
        <v>0.01</v>
      </c>
      <c r="U524" t="s">
        <v>338</v>
      </c>
      <c r="V524" t="s">
        <v>414</v>
      </c>
    </row>
    <row r="525" spans="1:22" x14ac:dyDescent="0.25">
      <c r="A525" t="s">
        <v>328</v>
      </c>
      <c r="B525" t="s">
        <v>226</v>
      </c>
      <c r="C525" t="s">
        <v>116</v>
      </c>
      <c r="D525" t="s">
        <v>95</v>
      </c>
      <c r="E525" t="s">
        <v>308</v>
      </c>
      <c r="F525">
        <v>55000</v>
      </c>
      <c r="G525" t="s">
        <v>97</v>
      </c>
      <c r="H525">
        <v>140000</v>
      </c>
      <c r="I525">
        <v>0.26</v>
      </c>
      <c r="J525">
        <v>0.34</v>
      </c>
      <c r="K525">
        <v>0.56000000000000005</v>
      </c>
      <c r="L525">
        <v>0.73</v>
      </c>
      <c r="M525" t="s">
        <v>98</v>
      </c>
      <c r="N525" t="s">
        <v>329</v>
      </c>
      <c r="Q525">
        <v>0.15</v>
      </c>
      <c r="R525">
        <v>0.22</v>
      </c>
      <c r="S525">
        <v>0.03</v>
      </c>
      <c r="T525">
        <v>0.05</v>
      </c>
      <c r="U525" t="s">
        <v>335</v>
      </c>
      <c r="V525" t="s">
        <v>415</v>
      </c>
    </row>
    <row r="526" spans="1:22" x14ac:dyDescent="0.25">
      <c r="A526" t="s">
        <v>328</v>
      </c>
      <c r="B526" t="s">
        <v>226</v>
      </c>
      <c r="C526" t="s">
        <v>116</v>
      </c>
      <c r="D526" t="s">
        <v>100</v>
      </c>
      <c r="E526" t="s">
        <v>309</v>
      </c>
      <c r="F526">
        <v>140000</v>
      </c>
      <c r="G526" t="s">
        <v>102</v>
      </c>
      <c r="H526">
        <v>260000</v>
      </c>
      <c r="I526">
        <v>0.25</v>
      </c>
      <c r="J526">
        <v>0.33</v>
      </c>
      <c r="K526">
        <v>0.6</v>
      </c>
      <c r="L526">
        <v>0.76</v>
      </c>
      <c r="M526" t="s">
        <v>98</v>
      </c>
      <c r="N526" t="s">
        <v>329</v>
      </c>
      <c r="Q526">
        <v>0.12</v>
      </c>
      <c r="R526">
        <v>0.18</v>
      </c>
      <c r="S526">
        <v>0.03</v>
      </c>
      <c r="T526">
        <v>0.04</v>
      </c>
      <c r="U526" t="s">
        <v>335</v>
      </c>
      <c r="V526" t="s">
        <v>415</v>
      </c>
    </row>
    <row r="527" spans="1:22" x14ac:dyDescent="0.25">
      <c r="A527" t="s">
        <v>328</v>
      </c>
      <c r="B527" t="s">
        <v>226</v>
      </c>
      <c r="C527" t="s">
        <v>116</v>
      </c>
      <c r="D527" t="s">
        <v>104</v>
      </c>
      <c r="E527" t="s">
        <v>310</v>
      </c>
      <c r="F527">
        <v>260000</v>
      </c>
      <c r="G527" t="s">
        <v>102</v>
      </c>
      <c r="I527">
        <v>0.26</v>
      </c>
      <c r="J527">
        <v>0.31</v>
      </c>
      <c r="K527">
        <v>0.69</v>
      </c>
      <c r="L527">
        <v>0.84</v>
      </c>
      <c r="M527" t="s">
        <v>98</v>
      </c>
      <c r="N527" t="s">
        <v>329</v>
      </c>
      <c r="Q527">
        <v>0.1</v>
      </c>
      <c r="R527">
        <v>0.14000000000000001</v>
      </c>
      <c r="S527">
        <v>0.01</v>
      </c>
      <c r="T527">
        <v>0.03</v>
      </c>
      <c r="U527" t="s">
        <v>335</v>
      </c>
      <c r="V527" t="s">
        <v>415</v>
      </c>
    </row>
    <row r="528" spans="1:22" x14ac:dyDescent="0.25">
      <c r="A528" t="s">
        <v>328</v>
      </c>
      <c r="B528" t="s">
        <v>227</v>
      </c>
      <c r="C528" t="s">
        <v>116</v>
      </c>
      <c r="D528" t="s">
        <v>95</v>
      </c>
      <c r="E528" t="s">
        <v>128</v>
      </c>
      <c r="F528">
        <v>65000</v>
      </c>
      <c r="G528" t="s">
        <v>97</v>
      </c>
      <c r="H528">
        <v>150000</v>
      </c>
      <c r="I528">
        <v>0.33</v>
      </c>
      <c r="J528">
        <v>0.44</v>
      </c>
      <c r="K528">
        <v>0.75</v>
      </c>
      <c r="L528">
        <v>0.84</v>
      </c>
      <c r="M528" t="s">
        <v>98</v>
      </c>
      <c r="N528" t="s">
        <v>329</v>
      </c>
      <c r="Q528">
        <v>7.0000000000000007E-2</v>
      </c>
      <c r="R528">
        <v>0.15</v>
      </c>
      <c r="S528">
        <v>0.03</v>
      </c>
      <c r="T528">
        <v>0.05</v>
      </c>
      <c r="U528" t="s">
        <v>335</v>
      </c>
      <c r="V528" t="s">
        <v>416</v>
      </c>
    </row>
    <row r="529" spans="1:22" x14ac:dyDescent="0.25">
      <c r="A529" t="s">
        <v>328</v>
      </c>
      <c r="B529" t="s">
        <v>227</v>
      </c>
      <c r="C529" t="s">
        <v>116</v>
      </c>
      <c r="D529" t="s">
        <v>100</v>
      </c>
      <c r="E529" t="s">
        <v>101</v>
      </c>
      <c r="F529">
        <v>150000</v>
      </c>
      <c r="G529" t="s">
        <v>102</v>
      </c>
      <c r="H529">
        <v>600000</v>
      </c>
      <c r="I529">
        <v>0.38</v>
      </c>
      <c r="J529">
        <v>0.44</v>
      </c>
      <c r="K529">
        <v>0.8</v>
      </c>
      <c r="L529">
        <v>0.89</v>
      </c>
      <c r="M529" t="s">
        <v>98</v>
      </c>
      <c r="N529" t="s">
        <v>329</v>
      </c>
      <c r="Q529">
        <v>7.0000000000000007E-2</v>
      </c>
      <c r="R529">
        <v>0.12</v>
      </c>
      <c r="S529">
        <v>0.02</v>
      </c>
      <c r="T529">
        <v>0.03</v>
      </c>
      <c r="U529" t="s">
        <v>335</v>
      </c>
      <c r="V529" t="s">
        <v>416</v>
      </c>
    </row>
    <row r="530" spans="1:22" x14ac:dyDescent="0.25">
      <c r="A530" t="s">
        <v>328</v>
      </c>
      <c r="B530" t="s">
        <v>227</v>
      </c>
      <c r="C530" t="s">
        <v>116</v>
      </c>
      <c r="D530" t="s">
        <v>104</v>
      </c>
      <c r="E530" t="s">
        <v>105</v>
      </c>
      <c r="F530">
        <v>600000</v>
      </c>
      <c r="G530" t="s">
        <v>102</v>
      </c>
      <c r="I530">
        <v>0.34</v>
      </c>
      <c r="J530">
        <v>0.41</v>
      </c>
      <c r="K530">
        <v>0.87</v>
      </c>
      <c r="L530">
        <v>0.94</v>
      </c>
      <c r="M530" t="s">
        <v>98</v>
      </c>
      <c r="N530" t="s">
        <v>329</v>
      </c>
      <c r="Q530">
        <v>0.04</v>
      </c>
      <c r="R530">
        <v>7.0000000000000007E-2</v>
      </c>
      <c r="S530">
        <v>0.01</v>
      </c>
      <c r="T530">
        <v>0.02</v>
      </c>
      <c r="U530" t="s">
        <v>335</v>
      </c>
      <c r="V530" t="s">
        <v>416</v>
      </c>
    </row>
    <row r="531" spans="1:22" x14ac:dyDescent="0.25">
      <c r="A531" t="s">
        <v>328</v>
      </c>
      <c r="B531" t="s">
        <v>228</v>
      </c>
      <c r="C531" t="s">
        <v>94</v>
      </c>
      <c r="D531" t="s">
        <v>95</v>
      </c>
      <c r="E531" t="s">
        <v>311</v>
      </c>
      <c r="F531">
        <v>50000</v>
      </c>
      <c r="G531" t="s">
        <v>97</v>
      </c>
      <c r="H531">
        <v>300000</v>
      </c>
      <c r="I531">
        <v>0.12</v>
      </c>
      <c r="J531">
        <v>0.22</v>
      </c>
      <c r="K531">
        <v>0.35</v>
      </c>
      <c r="L531">
        <v>0.55000000000000004</v>
      </c>
      <c r="M531" t="s">
        <v>98</v>
      </c>
      <c r="N531" t="s">
        <v>329</v>
      </c>
      <c r="O531">
        <v>0.24</v>
      </c>
      <c r="P531">
        <v>0.4</v>
      </c>
      <c r="S531">
        <v>7.0000000000000007E-2</v>
      </c>
      <c r="T531">
        <v>0.1</v>
      </c>
      <c r="U531" t="s">
        <v>375</v>
      </c>
      <c r="V531" t="s">
        <v>417</v>
      </c>
    </row>
    <row r="532" spans="1:22" x14ac:dyDescent="0.25">
      <c r="A532" t="s">
        <v>328</v>
      </c>
      <c r="B532" t="s">
        <v>228</v>
      </c>
      <c r="C532" t="s">
        <v>94</v>
      </c>
      <c r="D532" t="s">
        <v>100</v>
      </c>
      <c r="E532" t="s">
        <v>312</v>
      </c>
      <c r="F532">
        <v>300000</v>
      </c>
      <c r="G532" t="s">
        <v>102</v>
      </c>
      <c r="H532">
        <v>1000000</v>
      </c>
      <c r="I532">
        <v>0.19</v>
      </c>
      <c r="J532">
        <v>0.28999999999999998</v>
      </c>
      <c r="K532">
        <v>0.68</v>
      </c>
      <c r="L532">
        <v>0.82</v>
      </c>
      <c r="M532" t="s">
        <v>98</v>
      </c>
      <c r="N532" t="s">
        <v>329</v>
      </c>
      <c r="O532">
        <v>0.3</v>
      </c>
      <c r="P532">
        <v>0.45</v>
      </c>
      <c r="S532">
        <v>0.03</v>
      </c>
      <c r="T532">
        <v>0.05</v>
      </c>
      <c r="U532" t="s">
        <v>375</v>
      </c>
      <c r="V532" t="s">
        <v>417</v>
      </c>
    </row>
    <row r="533" spans="1:22" x14ac:dyDescent="0.25">
      <c r="A533" t="s">
        <v>328</v>
      </c>
      <c r="B533" t="s">
        <v>228</v>
      </c>
      <c r="C533" t="s">
        <v>94</v>
      </c>
      <c r="D533" t="s">
        <v>104</v>
      </c>
      <c r="E533" t="s">
        <v>264</v>
      </c>
      <c r="F533">
        <v>1000000</v>
      </c>
      <c r="G533" t="s">
        <v>102</v>
      </c>
      <c r="I533">
        <v>0.24</v>
      </c>
      <c r="J533">
        <v>0.33</v>
      </c>
      <c r="K533">
        <v>0.84</v>
      </c>
      <c r="L533">
        <v>0.93</v>
      </c>
      <c r="M533" t="s">
        <v>98</v>
      </c>
      <c r="N533" t="s">
        <v>329</v>
      </c>
      <c r="O533">
        <v>0.34</v>
      </c>
      <c r="P533">
        <v>0.5</v>
      </c>
      <c r="S533">
        <v>0.01</v>
      </c>
      <c r="T533">
        <v>0.02</v>
      </c>
      <c r="U533" t="s">
        <v>375</v>
      </c>
      <c r="V533" t="s">
        <v>417</v>
      </c>
    </row>
    <row r="534" spans="1:22" x14ac:dyDescent="0.25">
      <c r="A534" t="s">
        <v>328</v>
      </c>
      <c r="B534" t="s">
        <v>230</v>
      </c>
      <c r="C534" t="s">
        <v>94</v>
      </c>
      <c r="D534" t="s">
        <v>95</v>
      </c>
      <c r="E534" t="s">
        <v>96</v>
      </c>
      <c r="F534">
        <v>50000</v>
      </c>
      <c r="G534" t="s">
        <v>97</v>
      </c>
      <c r="H534">
        <v>150000</v>
      </c>
      <c r="I534">
        <v>0.2</v>
      </c>
      <c r="J534">
        <v>0.33</v>
      </c>
      <c r="K534">
        <v>0.5</v>
      </c>
      <c r="L534">
        <v>0.66</v>
      </c>
      <c r="M534" t="s">
        <v>98</v>
      </c>
      <c r="N534" t="s">
        <v>329</v>
      </c>
      <c r="O534">
        <v>0.21</v>
      </c>
      <c r="P534">
        <v>0.34</v>
      </c>
      <c r="S534">
        <v>7.0000000000000007E-2</v>
      </c>
      <c r="T534">
        <v>0.11</v>
      </c>
      <c r="U534" t="s">
        <v>375</v>
      </c>
      <c r="V534" t="s">
        <v>418</v>
      </c>
    </row>
    <row r="535" spans="1:22" x14ac:dyDescent="0.25">
      <c r="A535" t="s">
        <v>328</v>
      </c>
      <c r="B535" t="s">
        <v>230</v>
      </c>
      <c r="C535" t="s">
        <v>94</v>
      </c>
      <c r="D535" t="s">
        <v>100</v>
      </c>
      <c r="E535" t="s">
        <v>101</v>
      </c>
      <c r="F535">
        <v>150000</v>
      </c>
      <c r="G535" t="s">
        <v>102</v>
      </c>
      <c r="H535">
        <v>600000</v>
      </c>
      <c r="I535">
        <v>0.26</v>
      </c>
      <c r="J535">
        <v>0.35</v>
      </c>
      <c r="K535">
        <v>0.59</v>
      </c>
      <c r="L535">
        <v>0.74</v>
      </c>
      <c r="M535" t="s">
        <v>98</v>
      </c>
      <c r="N535" t="s">
        <v>329</v>
      </c>
      <c r="O535">
        <v>0.16</v>
      </c>
      <c r="P535">
        <v>0.27</v>
      </c>
      <c r="S535">
        <v>0.05</v>
      </c>
      <c r="T535">
        <v>7.0000000000000007E-2</v>
      </c>
      <c r="U535" t="s">
        <v>375</v>
      </c>
      <c r="V535" t="s">
        <v>418</v>
      </c>
    </row>
    <row r="536" spans="1:22" x14ac:dyDescent="0.25">
      <c r="A536" t="s">
        <v>328</v>
      </c>
      <c r="B536" t="s">
        <v>230</v>
      </c>
      <c r="C536" t="s">
        <v>94</v>
      </c>
      <c r="D536" t="s">
        <v>104</v>
      </c>
      <c r="E536" t="s">
        <v>105</v>
      </c>
      <c r="F536">
        <v>600000</v>
      </c>
      <c r="G536" t="s">
        <v>102</v>
      </c>
      <c r="I536">
        <v>0.28999999999999998</v>
      </c>
      <c r="J536">
        <v>0.38</v>
      </c>
      <c r="K536">
        <v>0.75</v>
      </c>
      <c r="L536">
        <v>0.86</v>
      </c>
      <c r="M536" t="s">
        <v>98</v>
      </c>
      <c r="N536" t="s">
        <v>329</v>
      </c>
      <c r="O536">
        <v>0.23</v>
      </c>
      <c r="P536">
        <v>0.33</v>
      </c>
      <c r="S536">
        <v>0.03</v>
      </c>
      <c r="T536">
        <v>0.05</v>
      </c>
      <c r="U536" t="s">
        <v>375</v>
      </c>
      <c r="V536" t="s">
        <v>418</v>
      </c>
    </row>
    <row r="537" spans="1:22" x14ac:dyDescent="0.25">
      <c r="A537" t="s">
        <v>328</v>
      </c>
      <c r="B537" t="s">
        <v>231</v>
      </c>
      <c r="C537" t="s">
        <v>116</v>
      </c>
      <c r="D537" t="s">
        <v>95</v>
      </c>
      <c r="E537" t="s">
        <v>132</v>
      </c>
      <c r="F537">
        <v>65000</v>
      </c>
      <c r="G537" t="s">
        <v>97</v>
      </c>
      <c r="H537">
        <v>200000</v>
      </c>
      <c r="I537">
        <v>0.26</v>
      </c>
      <c r="J537">
        <v>0.43</v>
      </c>
      <c r="K537">
        <v>0.64</v>
      </c>
      <c r="L537">
        <v>0.81</v>
      </c>
      <c r="M537" t="s">
        <v>98</v>
      </c>
      <c r="N537" t="s">
        <v>329</v>
      </c>
      <c r="O537">
        <v>0.22</v>
      </c>
      <c r="P537">
        <v>0.34</v>
      </c>
      <c r="Q537">
        <v>0.08</v>
      </c>
      <c r="R537">
        <v>0.14000000000000001</v>
      </c>
      <c r="S537">
        <v>0.04</v>
      </c>
      <c r="T537">
        <v>0.06</v>
      </c>
      <c r="U537" t="s">
        <v>338</v>
      </c>
      <c r="V537" t="s">
        <v>419</v>
      </c>
    </row>
    <row r="538" spans="1:22" x14ac:dyDescent="0.25">
      <c r="A538" t="s">
        <v>328</v>
      </c>
      <c r="B538" t="s">
        <v>231</v>
      </c>
      <c r="C538" t="s">
        <v>116</v>
      </c>
      <c r="D538" t="s">
        <v>100</v>
      </c>
      <c r="E538" t="s">
        <v>223</v>
      </c>
      <c r="F538">
        <v>200000</v>
      </c>
      <c r="G538" t="s">
        <v>102</v>
      </c>
      <c r="H538">
        <v>500000</v>
      </c>
      <c r="I538">
        <v>0.3</v>
      </c>
      <c r="J538">
        <v>0.43</v>
      </c>
      <c r="K538">
        <v>0.72</v>
      </c>
      <c r="L538">
        <v>0.84</v>
      </c>
      <c r="M538" t="s">
        <v>98</v>
      </c>
      <c r="N538" t="s">
        <v>329</v>
      </c>
      <c r="O538">
        <v>0.18</v>
      </c>
      <c r="P538">
        <v>0.28999999999999998</v>
      </c>
      <c r="Q538">
        <v>7.0000000000000007E-2</v>
      </c>
      <c r="R538">
        <v>0.11</v>
      </c>
      <c r="S538">
        <v>0.02</v>
      </c>
      <c r="T538">
        <v>0.04</v>
      </c>
      <c r="U538" t="s">
        <v>338</v>
      </c>
      <c r="V538" t="s">
        <v>419</v>
      </c>
    </row>
    <row r="539" spans="1:22" x14ac:dyDescent="0.25">
      <c r="A539" t="s">
        <v>328</v>
      </c>
      <c r="B539" t="s">
        <v>231</v>
      </c>
      <c r="C539" t="s">
        <v>116</v>
      </c>
      <c r="D539" t="s">
        <v>104</v>
      </c>
      <c r="E539" t="s">
        <v>141</v>
      </c>
      <c r="F539">
        <v>500000</v>
      </c>
      <c r="G539" t="s">
        <v>102</v>
      </c>
      <c r="I539">
        <v>0.33</v>
      </c>
      <c r="J539">
        <v>0.46</v>
      </c>
      <c r="K539">
        <v>0.8</v>
      </c>
      <c r="L539">
        <v>0.89</v>
      </c>
      <c r="M539" t="s">
        <v>98</v>
      </c>
      <c r="N539" t="s">
        <v>329</v>
      </c>
      <c r="O539">
        <v>0.19</v>
      </c>
      <c r="P539">
        <v>0.28000000000000003</v>
      </c>
      <c r="Q539">
        <v>0.04</v>
      </c>
      <c r="R539">
        <v>0.06</v>
      </c>
      <c r="S539">
        <v>0.01</v>
      </c>
      <c r="T539">
        <v>0.02</v>
      </c>
      <c r="U539" t="s">
        <v>338</v>
      </c>
      <c r="V539" t="s">
        <v>419</v>
      </c>
    </row>
    <row r="540" spans="1:22" x14ac:dyDescent="0.25">
      <c r="A540" t="s">
        <v>328</v>
      </c>
      <c r="B540" t="s">
        <v>232</v>
      </c>
      <c r="C540" t="s">
        <v>94</v>
      </c>
      <c r="D540" t="s">
        <v>95</v>
      </c>
      <c r="E540" t="s">
        <v>164</v>
      </c>
      <c r="F540">
        <v>65000</v>
      </c>
      <c r="G540" t="s">
        <v>97</v>
      </c>
      <c r="H540">
        <v>300000</v>
      </c>
      <c r="I540">
        <v>0.26</v>
      </c>
      <c r="J540">
        <v>0.44</v>
      </c>
      <c r="K540">
        <v>0.59</v>
      </c>
      <c r="L540">
        <v>0.79</v>
      </c>
      <c r="M540" t="s">
        <v>98</v>
      </c>
      <c r="N540" t="s">
        <v>329</v>
      </c>
      <c r="O540">
        <v>0.19</v>
      </c>
      <c r="P540">
        <v>0.3</v>
      </c>
      <c r="Q540">
        <v>7.0000000000000007E-2</v>
      </c>
      <c r="R540">
        <v>0.13</v>
      </c>
      <c r="S540">
        <v>0.04</v>
      </c>
      <c r="T540">
        <v>0.06</v>
      </c>
      <c r="U540" t="s">
        <v>332</v>
      </c>
      <c r="V540" t="s">
        <v>420</v>
      </c>
    </row>
    <row r="541" spans="1:22" x14ac:dyDescent="0.25">
      <c r="A541" t="s">
        <v>328</v>
      </c>
      <c r="B541" t="s">
        <v>232</v>
      </c>
      <c r="C541" t="s">
        <v>94</v>
      </c>
      <c r="D541" t="s">
        <v>100</v>
      </c>
      <c r="E541" t="s">
        <v>160</v>
      </c>
      <c r="F541">
        <v>300000</v>
      </c>
      <c r="G541" t="s">
        <v>102</v>
      </c>
      <c r="H541">
        <v>900000</v>
      </c>
      <c r="I541">
        <v>0.3</v>
      </c>
      <c r="J541">
        <v>0.44</v>
      </c>
      <c r="K541">
        <v>0.68</v>
      </c>
      <c r="L541">
        <v>0.83</v>
      </c>
      <c r="M541" t="s">
        <v>98</v>
      </c>
      <c r="N541" t="s">
        <v>329</v>
      </c>
      <c r="O541">
        <v>0.16</v>
      </c>
      <c r="P541">
        <v>0.27</v>
      </c>
      <c r="Q541">
        <v>0.06</v>
      </c>
      <c r="R541">
        <v>0.09</v>
      </c>
      <c r="S541">
        <v>0.02</v>
      </c>
      <c r="T541">
        <v>0.03</v>
      </c>
      <c r="U541" t="s">
        <v>332</v>
      </c>
      <c r="V541" t="s">
        <v>420</v>
      </c>
    </row>
    <row r="542" spans="1:22" x14ac:dyDescent="0.25">
      <c r="A542" t="s">
        <v>328</v>
      </c>
      <c r="B542" t="s">
        <v>232</v>
      </c>
      <c r="C542" t="s">
        <v>94</v>
      </c>
      <c r="D542" t="s">
        <v>104</v>
      </c>
      <c r="E542" t="s">
        <v>162</v>
      </c>
      <c r="F542">
        <v>900000</v>
      </c>
      <c r="G542" t="s">
        <v>102</v>
      </c>
      <c r="I542">
        <v>0.35</v>
      </c>
      <c r="J542">
        <v>0.51</v>
      </c>
      <c r="K542">
        <v>0.81</v>
      </c>
      <c r="L542">
        <v>0.9</v>
      </c>
      <c r="M542" t="s">
        <v>98</v>
      </c>
      <c r="N542" t="s">
        <v>329</v>
      </c>
      <c r="O542">
        <v>0.18</v>
      </c>
      <c r="P542">
        <v>0.28000000000000003</v>
      </c>
      <c r="Q542">
        <v>0.04</v>
      </c>
      <c r="R542">
        <v>0.06</v>
      </c>
      <c r="S542">
        <v>0.01</v>
      </c>
      <c r="T542">
        <v>0.02</v>
      </c>
      <c r="U542" t="s">
        <v>332</v>
      </c>
      <c r="V542" t="s">
        <v>420</v>
      </c>
    </row>
    <row r="543" spans="1:22" x14ac:dyDescent="0.25">
      <c r="A543" t="s">
        <v>328</v>
      </c>
      <c r="B543" t="s">
        <v>233</v>
      </c>
      <c r="C543" t="s">
        <v>116</v>
      </c>
      <c r="D543" t="s">
        <v>95</v>
      </c>
      <c r="E543" t="s">
        <v>313</v>
      </c>
      <c r="F543">
        <v>100000</v>
      </c>
      <c r="G543" t="s">
        <v>97</v>
      </c>
      <c r="H543">
        <v>750000</v>
      </c>
      <c r="I543">
        <v>0.34</v>
      </c>
      <c r="J543">
        <v>0.46</v>
      </c>
      <c r="K543">
        <v>0.78</v>
      </c>
      <c r="L543">
        <v>0.9</v>
      </c>
      <c r="M543" t="s">
        <v>98</v>
      </c>
      <c r="N543" t="s">
        <v>329</v>
      </c>
      <c r="O543">
        <v>0.18</v>
      </c>
      <c r="P543">
        <v>0.28000000000000003</v>
      </c>
      <c r="Q543">
        <v>0.09</v>
      </c>
      <c r="R543">
        <v>0.14000000000000001</v>
      </c>
      <c r="S543">
        <v>0.01</v>
      </c>
      <c r="T543">
        <v>0.02</v>
      </c>
      <c r="U543" t="s">
        <v>338</v>
      </c>
      <c r="V543" t="s">
        <v>421</v>
      </c>
    </row>
    <row r="544" spans="1:22" x14ac:dyDescent="0.25">
      <c r="A544" t="s">
        <v>328</v>
      </c>
      <c r="B544" t="s">
        <v>233</v>
      </c>
      <c r="C544" t="s">
        <v>116</v>
      </c>
      <c r="D544" t="s">
        <v>100</v>
      </c>
      <c r="E544" t="s">
        <v>314</v>
      </c>
      <c r="F544">
        <v>750000</v>
      </c>
      <c r="G544" t="s">
        <v>102</v>
      </c>
      <c r="H544">
        <v>2500000</v>
      </c>
      <c r="I544">
        <v>0.33</v>
      </c>
      <c r="J544">
        <v>0.41</v>
      </c>
      <c r="K544">
        <v>0.86</v>
      </c>
      <c r="L544">
        <v>0.93</v>
      </c>
      <c r="M544" t="s">
        <v>98</v>
      </c>
      <c r="N544" t="s">
        <v>329</v>
      </c>
      <c r="O544">
        <v>0.23</v>
      </c>
      <c r="P544">
        <v>0.32</v>
      </c>
      <c r="Q544">
        <v>0.06</v>
      </c>
      <c r="R544">
        <v>0.1</v>
      </c>
      <c r="S544">
        <v>0</v>
      </c>
      <c r="T544">
        <v>0.01</v>
      </c>
      <c r="U544" t="s">
        <v>338</v>
      </c>
      <c r="V544" t="s">
        <v>421</v>
      </c>
    </row>
    <row r="545" spans="1:22" x14ac:dyDescent="0.25">
      <c r="A545" t="s">
        <v>328</v>
      </c>
      <c r="B545" t="s">
        <v>233</v>
      </c>
      <c r="C545" t="s">
        <v>116</v>
      </c>
      <c r="D545" t="s">
        <v>104</v>
      </c>
      <c r="E545" t="s">
        <v>315</v>
      </c>
      <c r="F545">
        <v>2500000</v>
      </c>
      <c r="G545" t="s">
        <v>102</v>
      </c>
      <c r="I545">
        <v>0.31</v>
      </c>
      <c r="J545">
        <v>0.42</v>
      </c>
      <c r="K545">
        <v>0.87</v>
      </c>
      <c r="L545">
        <v>0.94</v>
      </c>
      <c r="M545" t="s">
        <v>98</v>
      </c>
      <c r="N545" t="s">
        <v>329</v>
      </c>
      <c r="O545">
        <v>0.2</v>
      </c>
      <c r="P545">
        <v>0.27</v>
      </c>
      <c r="Q545">
        <v>0.06</v>
      </c>
      <c r="R545">
        <v>0.09</v>
      </c>
      <c r="S545">
        <v>0</v>
      </c>
      <c r="T545">
        <v>0</v>
      </c>
      <c r="U545" t="s">
        <v>338</v>
      </c>
      <c r="V545" t="s">
        <v>421</v>
      </c>
    </row>
    <row r="546" spans="1:22" x14ac:dyDescent="0.25">
      <c r="A546" t="s">
        <v>328</v>
      </c>
      <c r="B546" t="s">
        <v>234</v>
      </c>
      <c r="C546" t="s">
        <v>116</v>
      </c>
      <c r="D546" t="s">
        <v>95</v>
      </c>
      <c r="E546" t="s">
        <v>147</v>
      </c>
      <c r="F546">
        <v>65000</v>
      </c>
      <c r="G546" t="s">
        <v>97</v>
      </c>
      <c r="H546">
        <v>500000</v>
      </c>
      <c r="I546">
        <v>0.32</v>
      </c>
      <c r="J546">
        <v>0.39</v>
      </c>
      <c r="K546">
        <v>0.79</v>
      </c>
      <c r="L546">
        <v>0.89</v>
      </c>
      <c r="M546" t="s">
        <v>98</v>
      </c>
      <c r="N546" t="s">
        <v>329</v>
      </c>
      <c r="O546">
        <v>0.18</v>
      </c>
      <c r="P546">
        <v>0.3</v>
      </c>
      <c r="Q546">
        <v>0.11</v>
      </c>
      <c r="R546">
        <v>0.17</v>
      </c>
      <c r="S546">
        <v>0.01</v>
      </c>
      <c r="T546">
        <v>0.03</v>
      </c>
      <c r="U546" t="s">
        <v>338</v>
      </c>
      <c r="V546" t="s">
        <v>422</v>
      </c>
    </row>
    <row r="547" spans="1:22" x14ac:dyDescent="0.25">
      <c r="A547" t="s">
        <v>328</v>
      </c>
      <c r="B547" t="s">
        <v>234</v>
      </c>
      <c r="C547" t="s">
        <v>116</v>
      </c>
      <c r="D547" t="s">
        <v>100</v>
      </c>
      <c r="E547" t="s">
        <v>149</v>
      </c>
      <c r="F547">
        <v>500000</v>
      </c>
      <c r="G547" t="s">
        <v>102</v>
      </c>
      <c r="H547">
        <v>2000000</v>
      </c>
      <c r="I547">
        <v>0.32</v>
      </c>
      <c r="J547">
        <v>0.38</v>
      </c>
      <c r="K547">
        <v>0.84</v>
      </c>
      <c r="L547">
        <v>0.93</v>
      </c>
      <c r="M547" t="s">
        <v>98</v>
      </c>
      <c r="N547" t="s">
        <v>329</v>
      </c>
      <c r="O547">
        <v>0.23</v>
      </c>
      <c r="P547">
        <v>0.32</v>
      </c>
      <c r="Q547">
        <v>0.08</v>
      </c>
      <c r="R547">
        <v>0.12</v>
      </c>
      <c r="S547">
        <v>0.01</v>
      </c>
      <c r="T547">
        <v>0.01</v>
      </c>
      <c r="U547" t="s">
        <v>338</v>
      </c>
      <c r="V547" t="s">
        <v>422</v>
      </c>
    </row>
    <row r="548" spans="1:22" x14ac:dyDescent="0.25">
      <c r="A548" t="s">
        <v>328</v>
      </c>
      <c r="B548" t="s">
        <v>234</v>
      </c>
      <c r="C548" t="s">
        <v>116</v>
      </c>
      <c r="D548" t="s">
        <v>104</v>
      </c>
      <c r="E548" t="s">
        <v>151</v>
      </c>
      <c r="F548">
        <v>2000000</v>
      </c>
      <c r="G548" t="s">
        <v>102</v>
      </c>
      <c r="I548">
        <v>0.31</v>
      </c>
      <c r="J548">
        <v>0.36</v>
      </c>
      <c r="K548">
        <v>0.88</v>
      </c>
      <c r="L548">
        <v>0.94</v>
      </c>
      <c r="M548" t="s">
        <v>98</v>
      </c>
      <c r="N548" t="s">
        <v>329</v>
      </c>
      <c r="O548">
        <v>0.27</v>
      </c>
      <c r="P548">
        <v>0.34</v>
      </c>
      <c r="Q548">
        <v>0.06</v>
      </c>
      <c r="R548">
        <v>0.09</v>
      </c>
      <c r="S548">
        <v>0</v>
      </c>
      <c r="T548">
        <v>0.01</v>
      </c>
      <c r="U548" t="s">
        <v>338</v>
      </c>
      <c r="V548" t="s">
        <v>422</v>
      </c>
    </row>
    <row r="549" spans="1:22" x14ac:dyDescent="0.25">
      <c r="A549" t="s">
        <v>328</v>
      </c>
      <c r="B549" t="s">
        <v>235</v>
      </c>
      <c r="C549" t="s">
        <v>94</v>
      </c>
      <c r="D549" t="s">
        <v>95</v>
      </c>
      <c r="E549" t="s">
        <v>180</v>
      </c>
      <c r="F549">
        <v>50000</v>
      </c>
      <c r="G549" t="s">
        <v>97</v>
      </c>
      <c r="H549">
        <v>200000</v>
      </c>
      <c r="K549">
        <v>0.52</v>
      </c>
      <c r="L549">
        <v>0.71</v>
      </c>
      <c r="M549" t="s">
        <v>98</v>
      </c>
      <c r="N549" t="s">
        <v>329</v>
      </c>
      <c r="O549">
        <v>0.25</v>
      </c>
      <c r="P549">
        <v>0.37</v>
      </c>
      <c r="S549">
        <v>0.14000000000000001</v>
      </c>
      <c r="T549">
        <v>0.25</v>
      </c>
      <c r="U549" t="s">
        <v>347</v>
      </c>
      <c r="V549" t="s">
        <v>423</v>
      </c>
    </row>
    <row r="550" spans="1:22" x14ac:dyDescent="0.25">
      <c r="A550" t="s">
        <v>328</v>
      </c>
      <c r="B550" t="s">
        <v>235</v>
      </c>
      <c r="C550" t="s">
        <v>94</v>
      </c>
      <c r="D550" t="s">
        <v>100</v>
      </c>
      <c r="E550" t="s">
        <v>182</v>
      </c>
      <c r="F550">
        <v>200000</v>
      </c>
      <c r="G550" t="s">
        <v>102</v>
      </c>
      <c r="H550">
        <v>600000</v>
      </c>
      <c r="K550">
        <v>0.63</v>
      </c>
      <c r="L550">
        <v>0.8</v>
      </c>
      <c r="M550" t="s">
        <v>98</v>
      </c>
      <c r="N550" t="s">
        <v>329</v>
      </c>
      <c r="O550">
        <v>0.18</v>
      </c>
      <c r="P550">
        <v>0.31</v>
      </c>
      <c r="S550">
        <v>0.12</v>
      </c>
      <c r="T550">
        <v>0.28000000000000003</v>
      </c>
      <c r="U550" t="s">
        <v>347</v>
      </c>
      <c r="V550" t="s">
        <v>423</v>
      </c>
    </row>
    <row r="551" spans="1:22" x14ac:dyDescent="0.25">
      <c r="A551" t="s">
        <v>328</v>
      </c>
      <c r="B551" t="s">
        <v>235</v>
      </c>
      <c r="C551" t="s">
        <v>94</v>
      </c>
      <c r="D551" t="s">
        <v>104</v>
      </c>
      <c r="E551" t="s">
        <v>105</v>
      </c>
      <c r="F551">
        <v>600000</v>
      </c>
      <c r="G551" t="s">
        <v>102</v>
      </c>
      <c r="K551">
        <v>0.78</v>
      </c>
      <c r="L551">
        <v>0.89</v>
      </c>
      <c r="M551" t="s">
        <v>98</v>
      </c>
      <c r="N551" t="s">
        <v>329</v>
      </c>
      <c r="O551">
        <v>0.21</v>
      </c>
      <c r="P551">
        <v>0.32</v>
      </c>
      <c r="S551">
        <v>0.05</v>
      </c>
      <c r="T551">
        <v>0.26</v>
      </c>
      <c r="U551" t="s">
        <v>347</v>
      </c>
      <c r="V551" t="s">
        <v>423</v>
      </c>
    </row>
    <row r="552" spans="1:22" x14ac:dyDescent="0.25">
      <c r="A552" t="s">
        <v>328</v>
      </c>
      <c r="B552" t="s">
        <v>236</v>
      </c>
      <c r="C552" t="s">
        <v>94</v>
      </c>
      <c r="D552" t="s">
        <v>95</v>
      </c>
      <c r="E552" t="s">
        <v>316</v>
      </c>
      <c r="F552">
        <v>50000</v>
      </c>
      <c r="G552" t="s">
        <v>97</v>
      </c>
      <c r="H552">
        <v>325000</v>
      </c>
      <c r="K552">
        <v>0.43</v>
      </c>
      <c r="L552">
        <v>0.63</v>
      </c>
      <c r="M552" t="s">
        <v>98</v>
      </c>
      <c r="N552" t="s">
        <v>329</v>
      </c>
      <c r="O552">
        <v>0.2</v>
      </c>
      <c r="P552">
        <v>0.33</v>
      </c>
      <c r="S552">
        <v>0.06</v>
      </c>
      <c r="T552">
        <v>0.1</v>
      </c>
      <c r="U552" t="s">
        <v>347</v>
      </c>
      <c r="V552" t="s">
        <v>424</v>
      </c>
    </row>
    <row r="553" spans="1:22" x14ac:dyDescent="0.25">
      <c r="A553" t="s">
        <v>328</v>
      </c>
      <c r="B553" t="s">
        <v>236</v>
      </c>
      <c r="C553" t="s">
        <v>94</v>
      </c>
      <c r="D553" t="s">
        <v>100</v>
      </c>
      <c r="E553" t="s">
        <v>317</v>
      </c>
      <c r="F553">
        <v>325000</v>
      </c>
      <c r="G553" t="s">
        <v>102</v>
      </c>
      <c r="H553">
        <v>900000</v>
      </c>
      <c r="K553">
        <v>0.65</v>
      </c>
      <c r="L553">
        <v>0.8</v>
      </c>
      <c r="M553" t="s">
        <v>98</v>
      </c>
      <c r="N553" t="s">
        <v>329</v>
      </c>
      <c r="O553">
        <v>0.22</v>
      </c>
      <c r="P553">
        <v>0.35</v>
      </c>
      <c r="S553">
        <v>0.04</v>
      </c>
      <c r="T553">
        <v>0.06</v>
      </c>
      <c r="U553" t="s">
        <v>347</v>
      </c>
      <c r="V553" t="s">
        <v>424</v>
      </c>
    </row>
    <row r="554" spans="1:22" x14ac:dyDescent="0.25">
      <c r="A554" t="s">
        <v>328</v>
      </c>
      <c r="B554" t="s">
        <v>236</v>
      </c>
      <c r="C554" t="s">
        <v>94</v>
      </c>
      <c r="D554" t="s">
        <v>104</v>
      </c>
      <c r="E554" t="s">
        <v>162</v>
      </c>
      <c r="F554">
        <v>900000</v>
      </c>
      <c r="G554" t="s">
        <v>102</v>
      </c>
      <c r="K554">
        <v>0.8</v>
      </c>
      <c r="L554">
        <v>0.89</v>
      </c>
      <c r="M554" t="s">
        <v>98</v>
      </c>
      <c r="N554" t="s">
        <v>329</v>
      </c>
      <c r="O554">
        <v>0.23</v>
      </c>
      <c r="P554">
        <v>0.33</v>
      </c>
      <c r="S554">
        <v>0.02</v>
      </c>
      <c r="T554">
        <v>0.03</v>
      </c>
      <c r="U554" t="s">
        <v>347</v>
      </c>
      <c r="V554" t="s">
        <v>424</v>
      </c>
    </row>
    <row r="555" spans="1:22" x14ac:dyDescent="0.25">
      <c r="A555" t="s">
        <v>328</v>
      </c>
      <c r="B555" t="s">
        <v>238</v>
      </c>
      <c r="C555" t="s">
        <v>94</v>
      </c>
      <c r="D555" t="s">
        <v>95</v>
      </c>
      <c r="E555" t="s">
        <v>96</v>
      </c>
      <c r="F555">
        <v>50000</v>
      </c>
      <c r="G555" t="s">
        <v>97</v>
      </c>
      <c r="H555">
        <v>150000</v>
      </c>
      <c r="K555">
        <v>0.36</v>
      </c>
      <c r="L555">
        <v>0.57999999999999996</v>
      </c>
      <c r="M555" t="s">
        <v>98</v>
      </c>
      <c r="N555" t="s">
        <v>329</v>
      </c>
      <c r="Q555">
        <v>0.11</v>
      </c>
      <c r="R555">
        <v>0.2</v>
      </c>
      <c r="S555">
        <v>0.05</v>
      </c>
      <c r="T555">
        <v>0.08</v>
      </c>
      <c r="U555" t="s">
        <v>335</v>
      </c>
      <c r="V555" t="s">
        <v>425</v>
      </c>
    </row>
    <row r="556" spans="1:22" x14ac:dyDescent="0.25">
      <c r="A556" t="s">
        <v>328</v>
      </c>
      <c r="B556" t="s">
        <v>238</v>
      </c>
      <c r="C556" t="s">
        <v>94</v>
      </c>
      <c r="D556" t="s">
        <v>100</v>
      </c>
      <c r="E556" t="s">
        <v>101</v>
      </c>
      <c r="F556">
        <v>150000</v>
      </c>
      <c r="G556" t="s">
        <v>102</v>
      </c>
      <c r="H556">
        <v>600000</v>
      </c>
      <c r="K556">
        <v>0.56000000000000005</v>
      </c>
      <c r="L556">
        <v>0.75</v>
      </c>
      <c r="M556" t="s">
        <v>98</v>
      </c>
      <c r="N556" t="s">
        <v>329</v>
      </c>
      <c r="Q556">
        <v>0.09</v>
      </c>
      <c r="R556">
        <v>0.18</v>
      </c>
      <c r="S556">
        <v>0.02</v>
      </c>
      <c r="T556">
        <v>0.04</v>
      </c>
      <c r="U556" t="s">
        <v>335</v>
      </c>
      <c r="V556" t="s">
        <v>425</v>
      </c>
    </row>
    <row r="557" spans="1:22" x14ac:dyDescent="0.25">
      <c r="A557" t="s">
        <v>328</v>
      </c>
      <c r="B557" t="s">
        <v>238</v>
      </c>
      <c r="C557" t="s">
        <v>94</v>
      </c>
      <c r="D557" t="s">
        <v>104</v>
      </c>
      <c r="E557" t="s">
        <v>105</v>
      </c>
      <c r="F557">
        <v>600000</v>
      </c>
      <c r="G557" t="s">
        <v>102</v>
      </c>
      <c r="K557">
        <v>0.71</v>
      </c>
      <c r="L557">
        <v>0.85</v>
      </c>
      <c r="M557" t="s">
        <v>98</v>
      </c>
      <c r="N557" t="s">
        <v>329</v>
      </c>
      <c r="Q557">
        <v>7.0000000000000007E-2</v>
      </c>
      <c r="R557">
        <v>0.13</v>
      </c>
      <c r="S557">
        <v>0.01</v>
      </c>
      <c r="T557">
        <v>0.02</v>
      </c>
      <c r="U557" t="s">
        <v>335</v>
      </c>
      <c r="V557" t="s">
        <v>425</v>
      </c>
    </row>
    <row r="558" spans="1:22" x14ac:dyDescent="0.25">
      <c r="A558" t="s">
        <v>328</v>
      </c>
      <c r="B558" t="s">
        <v>240</v>
      </c>
      <c r="C558" t="s">
        <v>116</v>
      </c>
      <c r="D558" t="s">
        <v>95</v>
      </c>
      <c r="E558" t="s">
        <v>143</v>
      </c>
      <c r="F558">
        <v>65000</v>
      </c>
      <c r="G558" t="s">
        <v>97</v>
      </c>
      <c r="H558">
        <v>250000</v>
      </c>
      <c r="I558">
        <v>0.45</v>
      </c>
      <c r="J558">
        <v>0.62</v>
      </c>
      <c r="K558">
        <v>0.68</v>
      </c>
      <c r="L558">
        <v>0.84</v>
      </c>
      <c r="M558" t="s">
        <v>98</v>
      </c>
      <c r="N558" t="s">
        <v>329</v>
      </c>
      <c r="O558">
        <v>0.14000000000000001</v>
      </c>
      <c r="P558">
        <v>0.22</v>
      </c>
      <c r="Q558">
        <v>7.0000000000000007E-2</v>
      </c>
      <c r="R558">
        <v>0.14000000000000001</v>
      </c>
      <c r="S558">
        <v>0.03</v>
      </c>
      <c r="T558">
        <v>0.06</v>
      </c>
      <c r="U558" t="s">
        <v>338</v>
      </c>
      <c r="V558" t="s">
        <v>426</v>
      </c>
    </row>
    <row r="559" spans="1:22" x14ac:dyDescent="0.25">
      <c r="A559" t="s">
        <v>328</v>
      </c>
      <c r="B559" t="s">
        <v>240</v>
      </c>
      <c r="C559" t="s">
        <v>116</v>
      </c>
      <c r="D559" t="s">
        <v>100</v>
      </c>
      <c r="E559" t="s">
        <v>119</v>
      </c>
      <c r="F559">
        <v>250000</v>
      </c>
      <c r="G559" t="s">
        <v>102</v>
      </c>
      <c r="H559">
        <v>750000</v>
      </c>
      <c r="I559">
        <v>0.53</v>
      </c>
      <c r="J559">
        <v>0.63</v>
      </c>
      <c r="K559">
        <v>0.78</v>
      </c>
      <c r="L559">
        <v>0.88</v>
      </c>
      <c r="M559" t="s">
        <v>98</v>
      </c>
      <c r="N559" t="s">
        <v>329</v>
      </c>
      <c r="O559">
        <v>0.11</v>
      </c>
      <c r="P559">
        <v>0.19</v>
      </c>
      <c r="Q559">
        <v>0.06</v>
      </c>
      <c r="R559">
        <v>0.1</v>
      </c>
      <c r="S559">
        <v>0.02</v>
      </c>
      <c r="T559">
        <v>0.03</v>
      </c>
      <c r="U559" t="s">
        <v>338</v>
      </c>
      <c r="V559" t="s">
        <v>426</v>
      </c>
    </row>
    <row r="560" spans="1:22" x14ac:dyDescent="0.25">
      <c r="A560" t="s">
        <v>328</v>
      </c>
      <c r="B560" t="s">
        <v>240</v>
      </c>
      <c r="C560" t="s">
        <v>116</v>
      </c>
      <c r="D560" t="s">
        <v>104</v>
      </c>
      <c r="E560" t="s">
        <v>121</v>
      </c>
      <c r="F560">
        <v>750000</v>
      </c>
      <c r="G560" t="s">
        <v>102</v>
      </c>
      <c r="I560">
        <v>0.57999999999999996</v>
      </c>
      <c r="J560">
        <v>0.66</v>
      </c>
      <c r="K560">
        <v>0.86</v>
      </c>
      <c r="L560">
        <v>0.92</v>
      </c>
      <c r="M560" t="s">
        <v>98</v>
      </c>
      <c r="N560" t="s">
        <v>329</v>
      </c>
      <c r="O560">
        <v>0.1</v>
      </c>
      <c r="P560">
        <v>0.16</v>
      </c>
      <c r="Q560">
        <v>0.04</v>
      </c>
      <c r="R560">
        <v>0.06</v>
      </c>
      <c r="S560">
        <v>0.01</v>
      </c>
      <c r="T560">
        <v>0.01</v>
      </c>
      <c r="U560" t="s">
        <v>338</v>
      </c>
      <c r="V560" t="s">
        <v>426</v>
      </c>
    </row>
    <row r="561" spans="1:22" x14ac:dyDescent="0.25">
      <c r="A561" t="s">
        <v>328</v>
      </c>
      <c r="B561" t="s">
        <v>242</v>
      </c>
      <c r="C561" t="s">
        <v>116</v>
      </c>
      <c r="D561" t="s">
        <v>95</v>
      </c>
      <c r="E561" t="s">
        <v>143</v>
      </c>
      <c r="F561">
        <v>65000</v>
      </c>
      <c r="G561" t="s">
        <v>97</v>
      </c>
      <c r="H561">
        <v>250000</v>
      </c>
      <c r="I561">
        <v>0.39</v>
      </c>
      <c r="J561">
        <v>0.57999999999999996</v>
      </c>
      <c r="K561">
        <v>0.66</v>
      </c>
      <c r="L561">
        <v>0.82</v>
      </c>
      <c r="M561" t="s">
        <v>98</v>
      </c>
      <c r="N561" t="s">
        <v>329</v>
      </c>
      <c r="Q561">
        <v>0.08</v>
      </c>
      <c r="R561">
        <v>0.13</v>
      </c>
      <c r="S561">
        <v>0.03</v>
      </c>
      <c r="T561">
        <v>0.04</v>
      </c>
      <c r="U561" t="s">
        <v>335</v>
      </c>
      <c r="V561" t="s">
        <v>427</v>
      </c>
    </row>
    <row r="562" spans="1:22" x14ac:dyDescent="0.25">
      <c r="A562" t="s">
        <v>328</v>
      </c>
      <c r="B562" t="s">
        <v>242</v>
      </c>
      <c r="C562" t="s">
        <v>116</v>
      </c>
      <c r="D562" t="s">
        <v>100</v>
      </c>
      <c r="E562" t="s">
        <v>119</v>
      </c>
      <c r="F562">
        <v>250000</v>
      </c>
      <c r="G562" t="s">
        <v>102</v>
      </c>
      <c r="H562">
        <v>750000</v>
      </c>
      <c r="I562">
        <v>0.47</v>
      </c>
      <c r="J562">
        <v>0.56999999999999995</v>
      </c>
      <c r="K562">
        <v>0.81</v>
      </c>
      <c r="L562">
        <v>0.88</v>
      </c>
      <c r="M562" t="s">
        <v>98</v>
      </c>
      <c r="N562" t="s">
        <v>329</v>
      </c>
      <c r="Q562">
        <v>0.06</v>
      </c>
      <c r="R562">
        <v>0.11</v>
      </c>
      <c r="S562">
        <v>0.01</v>
      </c>
      <c r="T562">
        <v>0.03</v>
      </c>
      <c r="U562" t="s">
        <v>335</v>
      </c>
      <c r="V562" t="s">
        <v>427</v>
      </c>
    </row>
    <row r="563" spans="1:22" x14ac:dyDescent="0.25">
      <c r="A563" t="s">
        <v>328</v>
      </c>
      <c r="B563" t="s">
        <v>242</v>
      </c>
      <c r="C563" t="s">
        <v>116</v>
      </c>
      <c r="D563" t="s">
        <v>104</v>
      </c>
      <c r="E563" t="s">
        <v>121</v>
      </c>
      <c r="F563">
        <v>750000</v>
      </c>
      <c r="G563" t="s">
        <v>102</v>
      </c>
      <c r="I563">
        <v>0.52</v>
      </c>
      <c r="J563">
        <v>0.63</v>
      </c>
      <c r="K563">
        <v>0.86</v>
      </c>
      <c r="L563">
        <v>0.93</v>
      </c>
      <c r="M563" t="s">
        <v>98</v>
      </c>
      <c r="N563" t="s">
        <v>329</v>
      </c>
      <c r="Q563">
        <v>0.03</v>
      </c>
      <c r="R563">
        <v>0.06</v>
      </c>
      <c r="S563">
        <v>0.01</v>
      </c>
      <c r="T563">
        <v>0.02</v>
      </c>
      <c r="U563" t="s">
        <v>335</v>
      </c>
      <c r="V563" t="s">
        <v>427</v>
      </c>
    </row>
    <row r="564" spans="1:22" x14ac:dyDescent="0.25">
      <c r="A564" t="s">
        <v>328</v>
      </c>
      <c r="B564" t="s">
        <v>243</v>
      </c>
      <c r="C564" t="s">
        <v>116</v>
      </c>
      <c r="D564" t="s">
        <v>95</v>
      </c>
      <c r="E564" t="s">
        <v>132</v>
      </c>
      <c r="F564">
        <v>65000</v>
      </c>
      <c r="G564" t="s">
        <v>97</v>
      </c>
      <c r="H564">
        <v>200000</v>
      </c>
      <c r="I564">
        <v>0.34</v>
      </c>
      <c r="J564">
        <v>0.42</v>
      </c>
      <c r="K564">
        <v>0.69</v>
      </c>
      <c r="L564">
        <v>0.82</v>
      </c>
      <c r="M564" t="s">
        <v>98</v>
      </c>
      <c r="N564" t="s">
        <v>329</v>
      </c>
      <c r="O564">
        <v>0.16</v>
      </c>
      <c r="P564">
        <v>0.26</v>
      </c>
      <c r="Q564">
        <v>0.1</v>
      </c>
      <c r="R564">
        <v>0.17</v>
      </c>
      <c r="S564">
        <v>0.03</v>
      </c>
      <c r="T564">
        <v>0.06</v>
      </c>
      <c r="U564" t="s">
        <v>338</v>
      </c>
      <c r="V564" t="s">
        <v>428</v>
      </c>
    </row>
    <row r="565" spans="1:22" x14ac:dyDescent="0.25">
      <c r="A565" t="s">
        <v>328</v>
      </c>
      <c r="B565" t="s">
        <v>243</v>
      </c>
      <c r="C565" t="s">
        <v>116</v>
      </c>
      <c r="D565" t="s">
        <v>100</v>
      </c>
      <c r="E565" t="s">
        <v>182</v>
      </c>
      <c r="F565">
        <v>200000</v>
      </c>
      <c r="G565" t="s">
        <v>102</v>
      </c>
      <c r="H565">
        <v>600000</v>
      </c>
      <c r="I565">
        <v>0.36</v>
      </c>
      <c r="J565">
        <v>0.43</v>
      </c>
      <c r="K565">
        <v>0.76</v>
      </c>
      <c r="L565">
        <v>0.87</v>
      </c>
      <c r="M565" t="s">
        <v>98</v>
      </c>
      <c r="N565" t="s">
        <v>329</v>
      </c>
      <c r="O565">
        <v>0.15</v>
      </c>
      <c r="P565">
        <v>0.24</v>
      </c>
      <c r="Q565">
        <v>0.1</v>
      </c>
      <c r="R565">
        <v>0.15</v>
      </c>
      <c r="S565">
        <v>0.01</v>
      </c>
      <c r="T565">
        <v>0.03</v>
      </c>
      <c r="U565" t="s">
        <v>338</v>
      </c>
      <c r="V565" t="s">
        <v>428</v>
      </c>
    </row>
    <row r="566" spans="1:22" x14ac:dyDescent="0.25">
      <c r="A566" t="s">
        <v>328</v>
      </c>
      <c r="B566" t="s">
        <v>243</v>
      </c>
      <c r="C566" t="s">
        <v>116</v>
      </c>
      <c r="D566" t="s">
        <v>104</v>
      </c>
      <c r="E566" t="s">
        <v>105</v>
      </c>
      <c r="F566">
        <v>600000</v>
      </c>
      <c r="G566" t="s">
        <v>102</v>
      </c>
      <c r="I566">
        <v>0.35</v>
      </c>
      <c r="J566">
        <v>0.41</v>
      </c>
      <c r="K566">
        <v>0.84</v>
      </c>
      <c r="L566">
        <v>0.93</v>
      </c>
      <c r="M566" t="s">
        <v>98</v>
      </c>
      <c r="N566" t="s">
        <v>329</v>
      </c>
      <c r="O566">
        <v>0.19</v>
      </c>
      <c r="P566">
        <v>0.27</v>
      </c>
      <c r="Q566">
        <v>7.0000000000000007E-2</v>
      </c>
      <c r="R566">
        <v>0.12</v>
      </c>
      <c r="S566">
        <v>0.01</v>
      </c>
      <c r="T566">
        <v>0.01</v>
      </c>
      <c r="U566" t="s">
        <v>338</v>
      </c>
      <c r="V566" t="s">
        <v>428</v>
      </c>
    </row>
    <row r="567" spans="1:22" x14ac:dyDescent="0.25">
      <c r="A567" t="s">
        <v>328</v>
      </c>
      <c r="B567" t="s">
        <v>244</v>
      </c>
      <c r="C567" t="s">
        <v>94</v>
      </c>
      <c r="D567" t="s">
        <v>95</v>
      </c>
      <c r="E567" t="s">
        <v>96</v>
      </c>
      <c r="F567">
        <v>50000</v>
      </c>
      <c r="G567" t="s">
        <v>97</v>
      </c>
      <c r="H567">
        <v>150000</v>
      </c>
      <c r="I567">
        <v>0.12</v>
      </c>
      <c r="J567">
        <v>0.19</v>
      </c>
      <c r="K567">
        <v>0.36</v>
      </c>
      <c r="L567">
        <v>0.52</v>
      </c>
      <c r="M567" t="s">
        <v>98</v>
      </c>
      <c r="N567" t="s">
        <v>329</v>
      </c>
      <c r="S567">
        <v>7.0000000000000007E-2</v>
      </c>
      <c r="T567">
        <v>0.11</v>
      </c>
      <c r="U567" t="s">
        <v>429</v>
      </c>
      <c r="V567" t="s">
        <v>430</v>
      </c>
    </row>
    <row r="568" spans="1:22" x14ac:dyDescent="0.25">
      <c r="A568" t="s">
        <v>328</v>
      </c>
      <c r="B568" t="s">
        <v>244</v>
      </c>
      <c r="C568" t="s">
        <v>94</v>
      </c>
      <c r="D568" t="s">
        <v>100</v>
      </c>
      <c r="E568" t="s">
        <v>101</v>
      </c>
      <c r="F568">
        <v>150000</v>
      </c>
      <c r="G568" t="s">
        <v>102</v>
      </c>
      <c r="H568">
        <v>600000</v>
      </c>
      <c r="I568">
        <v>0.14000000000000001</v>
      </c>
      <c r="J568">
        <v>0.21</v>
      </c>
      <c r="K568">
        <v>0.53</v>
      </c>
      <c r="L568">
        <v>0.71</v>
      </c>
      <c r="M568" t="s">
        <v>98</v>
      </c>
      <c r="N568" t="s">
        <v>329</v>
      </c>
      <c r="S568">
        <v>0.05</v>
      </c>
      <c r="T568">
        <v>7.0000000000000007E-2</v>
      </c>
      <c r="U568" t="s">
        <v>429</v>
      </c>
      <c r="V568" t="s">
        <v>430</v>
      </c>
    </row>
    <row r="569" spans="1:22" x14ac:dyDescent="0.25">
      <c r="A569" t="s">
        <v>328</v>
      </c>
      <c r="B569" t="s">
        <v>244</v>
      </c>
      <c r="C569" t="s">
        <v>94</v>
      </c>
      <c r="D569" t="s">
        <v>104</v>
      </c>
      <c r="E569" t="s">
        <v>105</v>
      </c>
      <c r="F569">
        <v>600000</v>
      </c>
      <c r="G569" t="s">
        <v>102</v>
      </c>
      <c r="I569">
        <v>0.15</v>
      </c>
      <c r="J569">
        <v>0.25</v>
      </c>
      <c r="K569">
        <v>0.79</v>
      </c>
      <c r="L569">
        <v>0.9</v>
      </c>
      <c r="M569" t="s">
        <v>98</v>
      </c>
      <c r="N569" t="s">
        <v>329</v>
      </c>
      <c r="S569">
        <v>0.02</v>
      </c>
      <c r="T569">
        <v>0.03</v>
      </c>
      <c r="U569" t="s">
        <v>429</v>
      </c>
      <c r="V569" t="s">
        <v>430</v>
      </c>
    </row>
    <row r="570" spans="1:22" x14ac:dyDescent="0.25">
      <c r="A570" t="s">
        <v>328</v>
      </c>
      <c r="B570" t="s">
        <v>245</v>
      </c>
      <c r="C570" t="s">
        <v>94</v>
      </c>
      <c r="D570" t="s">
        <v>95</v>
      </c>
      <c r="E570" t="s">
        <v>174</v>
      </c>
      <c r="F570">
        <v>50000</v>
      </c>
      <c r="G570" t="s">
        <v>97</v>
      </c>
      <c r="H570">
        <v>100000</v>
      </c>
      <c r="I570">
        <v>0.17</v>
      </c>
      <c r="J570">
        <v>0.26</v>
      </c>
      <c r="K570">
        <v>0.42</v>
      </c>
      <c r="L570">
        <v>0.56000000000000005</v>
      </c>
      <c r="M570" t="s">
        <v>98</v>
      </c>
      <c r="N570" t="s">
        <v>329</v>
      </c>
      <c r="S570">
        <v>7.0000000000000007E-2</v>
      </c>
      <c r="T570">
        <v>0.12</v>
      </c>
      <c r="U570" t="s">
        <v>429</v>
      </c>
      <c r="V570" t="s">
        <v>431</v>
      </c>
    </row>
    <row r="571" spans="1:22" x14ac:dyDescent="0.25">
      <c r="A571" t="s">
        <v>328</v>
      </c>
      <c r="B571" t="s">
        <v>245</v>
      </c>
      <c r="C571" t="s">
        <v>94</v>
      </c>
      <c r="D571" t="s">
        <v>100</v>
      </c>
      <c r="E571" t="s">
        <v>318</v>
      </c>
      <c r="F571">
        <v>100000</v>
      </c>
      <c r="G571" t="s">
        <v>102</v>
      </c>
      <c r="H571">
        <v>200000</v>
      </c>
      <c r="I571">
        <v>0.19</v>
      </c>
      <c r="J571">
        <v>0.27</v>
      </c>
      <c r="K571">
        <v>0.44</v>
      </c>
      <c r="L571">
        <v>0.62</v>
      </c>
      <c r="M571" t="s">
        <v>98</v>
      </c>
      <c r="N571" t="s">
        <v>329</v>
      </c>
      <c r="S571">
        <v>0.06</v>
      </c>
      <c r="T571">
        <v>0.09</v>
      </c>
      <c r="U571" t="s">
        <v>429</v>
      </c>
      <c r="V571" t="s">
        <v>431</v>
      </c>
    </row>
    <row r="572" spans="1:22" x14ac:dyDescent="0.25">
      <c r="A572" t="s">
        <v>328</v>
      </c>
      <c r="B572" t="s">
        <v>245</v>
      </c>
      <c r="C572" t="s">
        <v>94</v>
      </c>
      <c r="D572" t="s">
        <v>104</v>
      </c>
      <c r="E572" t="s">
        <v>319</v>
      </c>
      <c r="F572">
        <v>200000</v>
      </c>
      <c r="G572" t="s">
        <v>102</v>
      </c>
      <c r="I572">
        <v>0.2</v>
      </c>
      <c r="J572">
        <v>0.28000000000000003</v>
      </c>
      <c r="K572">
        <v>0.59</v>
      </c>
      <c r="L572">
        <v>0.78</v>
      </c>
      <c r="M572" t="s">
        <v>98</v>
      </c>
      <c r="N572" t="s">
        <v>329</v>
      </c>
      <c r="S572">
        <v>0.04</v>
      </c>
      <c r="T572">
        <v>0.06</v>
      </c>
      <c r="U572" t="s">
        <v>429</v>
      </c>
      <c r="V572" t="s">
        <v>431</v>
      </c>
    </row>
    <row r="573" spans="1:22" x14ac:dyDescent="0.25">
      <c r="A573" t="s">
        <v>328</v>
      </c>
      <c r="B573" t="s">
        <v>247</v>
      </c>
      <c r="C573" t="s">
        <v>116</v>
      </c>
      <c r="D573" t="s">
        <v>95</v>
      </c>
      <c r="E573" t="s">
        <v>320</v>
      </c>
      <c r="F573">
        <v>100000</v>
      </c>
      <c r="G573" t="s">
        <v>97</v>
      </c>
      <c r="H573">
        <v>700000</v>
      </c>
      <c r="I573">
        <v>0.66</v>
      </c>
      <c r="J573">
        <v>0.78</v>
      </c>
      <c r="K573">
        <v>0.84</v>
      </c>
      <c r="L573">
        <v>0.93</v>
      </c>
      <c r="M573" t="s">
        <v>98</v>
      </c>
      <c r="N573" t="s">
        <v>329</v>
      </c>
      <c r="Q573">
        <v>0.06</v>
      </c>
      <c r="R573">
        <v>0.08</v>
      </c>
      <c r="S573">
        <v>0.01</v>
      </c>
      <c r="T573">
        <v>0.02</v>
      </c>
      <c r="U573" t="s">
        <v>335</v>
      </c>
      <c r="V573" t="s">
        <v>432</v>
      </c>
    </row>
    <row r="574" spans="1:22" x14ac:dyDescent="0.25">
      <c r="A574" t="s">
        <v>328</v>
      </c>
      <c r="B574" t="s">
        <v>247</v>
      </c>
      <c r="C574" t="s">
        <v>116</v>
      </c>
      <c r="D574" t="s">
        <v>100</v>
      </c>
      <c r="E574" t="s">
        <v>321</v>
      </c>
      <c r="F574">
        <v>700000</v>
      </c>
      <c r="G574" t="s">
        <v>102</v>
      </c>
      <c r="H574">
        <v>1500000</v>
      </c>
      <c r="I574">
        <v>0.78</v>
      </c>
      <c r="J574">
        <v>0.86</v>
      </c>
      <c r="K574">
        <v>0.91</v>
      </c>
      <c r="L574">
        <v>0.95</v>
      </c>
      <c r="M574" t="s">
        <v>98</v>
      </c>
      <c r="N574" t="s">
        <v>329</v>
      </c>
      <c r="Q574">
        <v>0.04</v>
      </c>
      <c r="R574">
        <v>0.06</v>
      </c>
      <c r="S574">
        <v>0</v>
      </c>
      <c r="T574">
        <v>0.01</v>
      </c>
      <c r="U574" t="s">
        <v>335</v>
      </c>
      <c r="V574" t="s">
        <v>432</v>
      </c>
    </row>
    <row r="575" spans="1:22" x14ac:dyDescent="0.25">
      <c r="A575" t="s">
        <v>328</v>
      </c>
      <c r="B575" t="s">
        <v>247</v>
      </c>
      <c r="C575" t="s">
        <v>116</v>
      </c>
      <c r="D575" t="s">
        <v>104</v>
      </c>
      <c r="E575" t="s">
        <v>299</v>
      </c>
      <c r="F575">
        <v>1500000</v>
      </c>
      <c r="G575" t="s">
        <v>102</v>
      </c>
      <c r="I575">
        <v>0.86</v>
      </c>
      <c r="J575">
        <v>0.9</v>
      </c>
      <c r="K575">
        <v>0.94</v>
      </c>
      <c r="L575">
        <v>0.97</v>
      </c>
      <c r="M575" t="s">
        <v>98</v>
      </c>
      <c r="N575" t="s">
        <v>329</v>
      </c>
      <c r="Q575">
        <v>0.02</v>
      </c>
      <c r="R575">
        <v>0.03</v>
      </c>
      <c r="S575">
        <v>0</v>
      </c>
      <c r="T575">
        <v>0</v>
      </c>
      <c r="U575" t="s">
        <v>335</v>
      </c>
      <c r="V575" t="s">
        <v>432</v>
      </c>
    </row>
    <row r="576" spans="1:22" x14ac:dyDescent="0.25">
      <c r="A576" t="s">
        <v>328</v>
      </c>
      <c r="B576" t="s">
        <v>249</v>
      </c>
      <c r="C576" t="s">
        <v>94</v>
      </c>
      <c r="D576" t="s">
        <v>95</v>
      </c>
      <c r="E576" t="s">
        <v>180</v>
      </c>
      <c r="F576">
        <v>50000</v>
      </c>
      <c r="G576" t="s">
        <v>97</v>
      </c>
      <c r="H576">
        <v>200000</v>
      </c>
      <c r="K576">
        <v>0.55000000000000004</v>
      </c>
      <c r="L576">
        <v>0.7</v>
      </c>
      <c r="M576" t="s">
        <v>98</v>
      </c>
      <c r="N576" t="s">
        <v>329</v>
      </c>
      <c r="O576">
        <v>0.21</v>
      </c>
      <c r="P576">
        <v>0.35</v>
      </c>
      <c r="Q576">
        <v>0.06</v>
      </c>
      <c r="R576">
        <v>0.11</v>
      </c>
      <c r="S576">
        <v>0.19</v>
      </c>
      <c r="T576">
        <v>0.3</v>
      </c>
      <c r="U576" t="s">
        <v>338</v>
      </c>
      <c r="V576" t="s">
        <v>433</v>
      </c>
    </row>
    <row r="577" spans="1:22" x14ac:dyDescent="0.25">
      <c r="A577" t="s">
        <v>328</v>
      </c>
      <c r="B577" t="s">
        <v>249</v>
      </c>
      <c r="C577" t="s">
        <v>94</v>
      </c>
      <c r="D577" t="s">
        <v>100</v>
      </c>
      <c r="E577" t="s">
        <v>223</v>
      </c>
      <c r="F577">
        <v>200000</v>
      </c>
      <c r="G577" t="s">
        <v>102</v>
      </c>
      <c r="H577">
        <v>500000</v>
      </c>
      <c r="K577">
        <v>0.61</v>
      </c>
      <c r="L577">
        <v>0.78</v>
      </c>
      <c r="M577" t="s">
        <v>98</v>
      </c>
      <c r="N577" t="s">
        <v>329</v>
      </c>
      <c r="O577">
        <v>0.16</v>
      </c>
      <c r="P577">
        <v>0.28000000000000003</v>
      </c>
      <c r="Q577">
        <v>0.04</v>
      </c>
      <c r="R577">
        <v>0.08</v>
      </c>
      <c r="S577">
        <v>0.13</v>
      </c>
      <c r="T577">
        <v>0.24</v>
      </c>
      <c r="U577" t="s">
        <v>338</v>
      </c>
      <c r="V577" t="s">
        <v>433</v>
      </c>
    </row>
    <row r="578" spans="1:22" x14ac:dyDescent="0.25">
      <c r="A578" t="s">
        <v>328</v>
      </c>
      <c r="B578" t="s">
        <v>249</v>
      </c>
      <c r="C578" t="s">
        <v>94</v>
      </c>
      <c r="D578" t="s">
        <v>104</v>
      </c>
      <c r="E578" t="s">
        <v>141</v>
      </c>
      <c r="F578">
        <v>500000</v>
      </c>
      <c r="G578" t="s">
        <v>102</v>
      </c>
      <c r="K578">
        <v>0.73</v>
      </c>
      <c r="L578">
        <v>0.86</v>
      </c>
      <c r="M578" t="s">
        <v>98</v>
      </c>
      <c r="N578" t="s">
        <v>329</v>
      </c>
      <c r="O578">
        <v>0.21</v>
      </c>
      <c r="P578">
        <v>0.32</v>
      </c>
      <c r="Q578">
        <v>0.03</v>
      </c>
      <c r="R578">
        <v>0.06</v>
      </c>
      <c r="S578">
        <v>0.1</v>
      </c>
      <c r="T578">
        <v>0.2</v>
      </c>
      <c r="U578" t="s">
        <v>338</v>
      </c>
      <c r="V578" t="s">
        <v>433</v>
      </c>
    </row>
    <row r="579" spans="1:22" x14ac:dyDescent="0.25">
      <c r="A579" t="s">
        <v>328</v>
      </c>
      <c r="B579" t="s">
        <v>251</v>
      </c>
      <c r="C579" t="s">
        <v>116</v>
      </c>
      <c r="D579" t="s">
        <v>95</v>
      </c>
      <c r="E579" t="s">
        <v>128</v>
      </c>
      <c r="F579">
        <v>65000</v>
      </c>
      <c r="G579" t="s">
        <v>97</v>
      </c>
      <c r="H579">
        <v>150000</v>
      </c>
      <c r="I579">
        <v>0.47</v>
      </c>
      <c r="J579">
        <v>0.63</v>
      </c>
      <c r="K579">
        <v>0.76</v>
      </c>
      <c r="L579">
        <v>0.85</v>
      </c>
      <c r="M579" t="s">
        <v>98</v>
      </c>
      <c r="N579" t="s">
        <v>329</v>
      </c>
      <c r="Q579">
        <v>0.09</v>
      </c>
      <c r="R579">
        <v>0.16</v>
      </c>
      <c r="S579">
        <v>0.03</v>
      </c>
      <c r="T579">
        <v>0.05</v>
      </c>
      <c r="U579" t="s">
        <v>335</v>
      </c>
      <c r="V579" t="s">
        <v>434</v>
      </c>
    </row>
    <row r="580" spans="1:22" x14ac:dyDescent="0.25">
      <c r="A580" t="s">
        <v>328</v>
      </c>
      <c r="B580" t="s">
        <v>251</v>
      </c>
      <c r="C580" t="s">
        <v>116</v>
      </c>
      <c r="D580" t="s">
        <v>100</v>
      </c>
      <c r="E580" t="s">
        <v>322</v>
      </c>
      <c r="F580">
        <v>150000</v>
      </c>
      <c r="G580" t="s">
        <v>102</v>
      </c>
      <c r="H580">
        <v>550000</v>
      </c>
      <c r="I580">
        <v>0.51</v>
      </c>
      <c r="J580">
        <v>0.65</v>
      </c>
      <c r="K580">
        <v>0.77</v>
      </c>
      <c r="L580">
        <v>0.89</v>
      </c>
      <c r="M580" t="s">
        <v>98</v>
      </c>
      <c r="N580" t="s">
        <v>329</v>
      </c>
      <c r="Q580">
        <v>0.08</v>
      </c>
      <c r="R580">
        <v>0.13</v>
      </c>
      <c r="S580">
        <v>0.02</v>
      </c>
      <c r="T580">
        <v>0.03</v>
      </c>
      <c r="U580" t="s">
        <v>335</v>
      </c>
      <c r="V580" t="s">
        <v>434</v>
      </c>
    </row>
    <row r="581" spans="1:22" x14ac:dyDescent="0.25">
      <c r="A581" t="s">
        <v>328</v>
      </c>
      <c r="B581" t="s">
        <v>251</v>
      </c>
      <c r="C581" t="s">
        <v>116</v>
      </c>
      <c r="D581" t="s">
        <v>104</v>
      </c>
      <c r="E581" t="s">
        <v>323</v>
      </c>
      <c r="F581">
        <v>550000</v>
      </c>
      <c r="G581" t="s">
        <v>102</v>
      </c>
      <c r="I581">
        <v>0.56000000000000005</v>
      </c>
      <c r="J581">
        <v>0.64</v>
      </c>
      <c r="K581">
        <v>0.85</v>
      </c>
      <c r="L581">
        <v>0.92</v>
      </c>
      <c r="M581" t="s">
        <v>98</v>
      </c>
      <c r="N581" t="s">
        <v>329</v>
      </c>
      <c r="Q581">
        <v>0.05</v>
      </c>
      <c r="R581">
        <v>0.08</v>
      </c>
      <c r="S581">
        <v>0.01</v>
      </c>
      <c r="T581">
        <v>0.01</v>
      </c>
      <c r="U581" t="s">
        <v>335</v>
      </c>
      <c r="V581" t="s">
        <v>434</v>
      </c>
    </row>
    <row r="582" spans="1:22" x14ac:dyDescent="0.25">
      <c r="A582" t="s">
        <v>328</v>
      </c>
      <c r="B582" t="s">
        <v>252</v>
      </c>
      <c r="C582" t="s">
        <v>94</v>
      </c>
      <c r="D582" t="s">
        <v>95</v>
      </c>
      <c r="E582" t="s">
        <v>311</v>
      </c>
      <c r="F582">
        <v>50000</v>
      </c>
      <c r="G582" t="s">
        <v>97</v>
      </c>
      <c r="H582">
        <v>300000</v>
      </c>
      <c r="K582">
        <v>0.31</v>
      </c>
      <c r="L582">
        <v>0.63</v>
      </c>
      <c r="M582" t="s">
        <v>98</v>
      </c>
      <c r="N582" t="s">
        <v>329</v>
      </c>
      <c r="O582">
        <v>0.26</v>
      </c>
      <c r="P582">
        <v>0.43</v>
      </c>
      <c r="Q582">
        <v>0.08</v>
      </c>
      <c r="R582">
        <v>0.16</v>
      </c>
      <c r="S582">
        <v>0.03</v>
      </c>
      <c r="T582">
        <v>0.06</v>
      </c>
      <c r="U582" t="s">
        <v>338</v>
      </c>
      <c r="V582" t="s">
        <v>435</v>
      </c>
    </row>
    <row r="583" spans="1:22" x14ac:dyDescent="0.25">
      <c r="A583" t="s">
        <v>328</v>
      </c>
      <c r="B583" t="s">
        <v>252</v>
      </c>
      <c r="C583" t="s">
        <v>94</v>
      </c>
      <c r="D583" t="s">
        <v>100</v>
      </c>
      <c r="E583" t="s">
        <v>324</v>
      </c>
      <c r="F583">
        <v>300000</v>
      </c>
      <c r="G583" t="s">
        <v>102</v>
      </c>
      <c r="H583">
        <v>800000</v>
      </c>
      <c r="K583">
        <v>0.56999999999999995</v>
      </c>
      <c r="L583">
        <v>0.8</v>
      </c>
      <c r="M583" t="s">
        <v>98</v>
      </c>
      <c r="N583" t="s">
        <v>329</v>
      </c>
      <c r="O583">
        <v>0.25</v>
      </c>
      <c r="P583">
        <v>0.41</v>
      </c>
      <c r="Q583">
        <v>0.06</v>
      </c>
      <c r="R583">
        <v>0.11</v>
      </c>
      <c r="S583">
        <v>0.01</v>
      </c>
      <c r="T583">
        <v>0.02</v>
      </c>
      <c r="U583" t="s">
        <v>338</v>
      </c>
      <c r="V583" t="s">
        <v>435</v>
      </c>
    </row>
    <row r="584" spans="1:22" x14ac:dyDescent="0.25">
      <c r="A584" t="s">
        <v>328</v>
      </c>
      <c r="B584" t="s">
        <v>252</v>
      </c>
      <c r="C584" t="s">
        <v>94</v>
      </c>
      <c r="D584" t="s">
        <v>104</v>
      </c>
      <c r="E584" t="s">
        <v>325</v>
      </c>
      <c r="F584">
        <v>800000</v>
      </c>
      <c r="G584" t="s">
        <v>102</v>
      </c>
      <c r="K584">
        <v>0.69</v>
      </c>
      <c r="L584">
        <v>0.87</v>
      </c>
      <c r="M584" t="s">
        <v>98</v>
      </c>
      <c r="N584" t="s">
        <v>329</v>
      </c>
      <c r="O584">
        <v>0.25</v>
      </c>
      <c r="P584">
        <v>0.43</v>
      </c>
      <c r="Q584">
        <v>0.03</v>
      </c>
      <c r="R584">
        <v>0.09</v>
      </c>
      <c r="S584">
        <v>0</v>
      </c>
      <c r="T584">
        <v>0.01</v>
      </c>
      <c r="U584" t="s">
        <v>338</v>
      </c>
      <c r="V584" t="s">
        <v>435</v>
      </c>
    </row>
    <row r="585" spans="1:22" x14ac:dyDescent="0.25">
      <c r="A585" t="s">
        <v>328</v>
      </c>
      <c r="B585" t="s">
        <v>253</v>
      </c>
      <c r="C585" t="s">
        <v>116</v>
      </c>
      <c r="D585" t="s">
        <v>95</v>
      </c>
      <c r="E585" t="s">
        <v>326</v>
      </c>
      <c r="F585">
        <v>65000</v>
      </c>
      <c r="G585" t="s">
        <v>97</v>
      </c>
      <c r="H585">
        <v>1000000</v>
      </c>
      <c r="I585">
        <v>0.56999999999999995</v>
      </c>
      <c r="J585">
        <v>0.67</v>
      </c>
      <c r="K585">
        <v>0.83</v>
      </c>
      <c r="L585">
        <v>0.91</v>
      </c>
      <c r="M585" t="s">
        <v>98</v>
      </c>
      <c r="N585" t="s">
        <v>329</v>
      </c>
      <c r="O585">
        <v>0.11</v>
      </c>
      <c r="P585">
        <v>0.17</v>
      </c>
      <c r="Q585">
        <v>0.05</v>
      </c>
      <c r="R585">
        <v>7.0000000000000007E-2</v>
      </c>
      <c r="S585">
        <v>0.02</v>
      </c>
      <c r="T585">
        <v>0.03</v>
      </c>
      <c r="U585" t="s">
        <v>338</v>
      </c>
      <c r="V585" t="s">
        <v>436</v>
      </c>
    </row>
    <row r="586" spans="1:22" x14ac:dyDescent="0.25">
      <c r="A586" t="s">
        <v>328</v>
      </c>
      <c r="B586" t="s">
        <v>253</v>
      </c>
      <c r="C586" t="s">
        <v>116</v>
      </c>
      <c r="D586" t="s">
        <v>100</v>
      </c>
      <c r="E586" t="s">
        <v>327</v>
      </c>
      <c r="F586">
        <v>1000000</v>
      </c>
      <c r="G586" t="s">
        <v>102</v>
      </c>
      <c r="H586">
        <v>2500000</v>
      </c>
      <c r="I586">
        <v>0.57999999999999996</v>
      </c>
      <c r="J586">
        <v>0.65</v>
      </c>
      <c r="K586">
        <v>0.88</v>
      </c>
      <c r="L586">
        <v>0.93</v>
      </c>
      <c r="M586" t="s">
        <v>98</v>
      </c>
      <c r="N586" t="s">
        <v>329</v>
      </c>
      <c r="O586">
        <v>0.12</v>
      </c>
      <c r="P586">
        <v>0.16</v>
      </c>
      <c r="Q586">
        <v>0.03</v>
      </c>
      <c r="R586">
        <v>0.05</v>
      </c>
      <c r="S586">
        <v>0.01</v>
      </c>
      <c r="T586">
        <v>0.02</v>
      </c>
      <c r="U586" t="s">
        <v>338</v>
      </c>
      <c r="V586" t="s">
        <v>436</v>
      </c>
    </row>
    <row r="587" spans="1:22" x14ac:dyDescent="0.25">
      <c r="A587" t="s">
        <v>328</v>
      </c>
      <c r="B587" t="s">
        <v>253</v>
      </c>
      <c r="C587" t="s">
        <v>116</v>
      </c>
      <c r="D587" t="s">
        <v>104</v>
      </c>
      <c r="E587" t="s">
        <v>315</v>
      </c>
      <c r="F587">
        <v>2500000</v>
      </c>
      <c r="G587" t="s">
        <v>102</v>
      </c>
      <c r="I587">
        <v>0.61</v>
      </c>
      <c r="J587">
        <v>0.68</v>
      </c>
      <c r="K587">
        <v>0.9</v>
      </c>
      <c r="L587">
        <v>0.94</v>
      </c>
      <c r="M587" t="s">
        <v>98</v>
      </c>
      <c r="N587" t="s">
        <v>329</v>
      </c>
      <c r="O587">
        <v>0.12</v>
      </c>
      <c r="P587">
        <v>0.16</v>
      </c>
      <c r="Q587">
        <v>0.03</v>
      </c>
      <c r="R587">
        <v>0.04</v>
      </c>
      <c r="S587">
        <v>0.01</v>
      </c>
      <c r="T587">
        <v>0.01</v>
      </c>
      <c r="U587" t="s">
        <v>338</v>
      </c>
      <c r="V587" t="s">
        <v>436</v>
      </c>
    </row>
    <row r="588" spans="1:22" x14ac:dyDescent="0.25">
      <c r="A588" t="s">
        <v>328</v>
      </c>
      <c r="B588" t="s">
        <v>254</v>
      </c>
      <c r="C588" t="s">
        <v>94</v>
      </c>
      <c r="D588" t="s">
        <v>95</v>
      </c>
      <c r="E588" t="s">
        <v>158</v>
      </c>
      <c r="F588">
        <v>100000</v>
      </c>
      <c r="G588" t="s">
        <v>97</v>
      </c>
      <c r="H588">
        <v>300000</v>
      </c>
      <c r="I588">
        <v>0.18</v>
      </c>
      <c r="J588">
        <v>0.28000000000000003</v>
      </c>
      <c r="K588">
        <v>0.44</v>
      </c>
      <c r="L588">
        <v>0.67</v>
      </c>
      <c r="M588" t="s">
        <v>98</v>
      </c>
      <c r="N588" t="s">
        <v>329</v>
      </c>
      <c r="Q588">
        <v>0.06</v>
      </c>
      <c r="R588">
        <v>0.11</v>
      </c>
      <c r="S588">
        <v>0.04</v>
      </c>
      <c r="T588">
        <v>7.0000000000000007E-2</v>
      </c>
      <c r="U588" t="s">
        <v>330</v>
      </c>
      <c r="V588" t="s">
        <v>437</v>
      </c>
    </row>
    <row r="589" spans="1:22" x14ac:dyDescent="0.25">
      <c r="A589" t="s">
        <v>328</v>
      </c>
      <c r="B589" t="s">
        <v>254</v>
      </c>
      <c r="C589" t="s">
        <v>94</v>
      </c>
      <c r="D589" t="s">
        <v>100</v>
      </c>
      <c r="E589" t="s">
        <v>324</v>
      </c>
      <c r="F589">
        <v>300000</v>
      </c>
      <c r="G589" t="s">
        <v>102</v>
      </c>
      <c r="H589">
        <v>800000</v>
      </c>
      <c r="I589">
        <v>0.2</v>
      </c>
      <c r="J589">
        <v>0.27</v>
      </c>
      <c r="K589">
        <v>0.55000000000000004</v>
      </c>
      <c r="L589">
        <v>0.77</v>
      </c>
      <c r="M589" t="s">
        <v>98</v>
      </c>
      <c r="N589" t="s">
        <v>329</v>
      </c>
      <c r="Q589">
        <v>0.05</v>
      </c>
      <c r="R589">
        <v>0.08</v>
      </c>
      <c r="S589">
        <v>0.02</v>
      </c>
      <c r="T589">
        <v>0.04</v>
      </c>
      <c r="U589" t="s">
        <v>330</v>
      </c>
      <c r="V589" t="s">
        <v>437</v>
      </c>
    </row>
    <row r="590" spans="1:22" x14ac:dyDescent="0.25">
      <c r="A590" t="s">
        <v>328</v>
      </c>
      <c r="B590" t="s">
        <v>254</v>
      </c>
      <c r="C590" t="s">
        <v>94</v>
      </c>
      <c r="D590" t="s">
        <v>104</v>
      </c>
      <c r="E590" t="s">
        <v>325</v>
      </c>
      <c r="F590">
        <v>800000</v>
      </c>
      <c r="G590" t="s">
        <v>102</v>
      </c>
      <c r="I590">
        <v>0.21</v>
      </c>
      <c r="J590">
        <v>0.25</v>
      </c>
      <c r="K590">
        <v>0.74</v>
      </c>
      <c r="L590">
        <v>0.84</v>
      </c>
      <c r="M590" t="s">
        <v>98</v>
      </c>
      <c r="N590" t="s">
        <v>329</v>
      </c>
      <c r="Q590">
        <v>0.03</v>
      </c>
      <c r="R590">
        <v>0.05</v>
      </c>
      <c r="S590">
        <v>0.01</v>
      </c>
      <c r="T590">
        <v>0.01</v>
      </c>
      <c r="U590" t="s">
        <v>330</v>
      </c>
      <c r="V590" t="s">
        <v>437</v>
      </c>
    </row>
    <row r="591" spans="1:22" x14ac:dyDescent="0.25">
      <c r="A591" t="s">
        <v>328</v>
      </c>
      <c r="B591" t="s">
        <v>255</v>
      </c>
      <c r="C591" t="s">
        <v>116</v>
      </c>
      <c r="D591" t="s">
        <v>95</v>
      </c>
      <c r="E591" t="s">
        <v>143</v>
      </c>
      <c r="F591">
        <v>65000</v>
      </c>
      <c r="G591" t="s">
        <v>97</v>
      </c>
      <c r="H591">
        <v>250000</v>
      </c>
      <c r="I591">
        <v>0.3</v>
      </c>
      <c r="J591">
        <v>0.44</v>
      </c>
      <c r="K591">
        <v>0.65</v>
      </c>
      <c r="L591">
        <v>0.79</v>
      </c>
      <c r="M591" t="s">
        <v>98</v>
      </c>
      <c r="N591" t="s">
        <v>329</v>
      </c>
      <c r="O591">
        <v>0.15</v>
      </c>
      <c r="P591">
        <v>0.26</v>
      </c>
      <c r="Q591">
        <v>0.09</v>
      </c>
      <c r="R591">
        <v>0.19</v>
      </c>
      <c r="S591">
        <v>0.03</v>
      </c>
      <c r="T591">
        <v>0.05</v>
      </c>
      <c r="U591" t="s">
        <v>338</v>
      </c>
      <c r="V591" t="s">
        <v>438</v>
      </c>
    </row>
    <row r="592" spans="1:22" x14ac:dyDescent="0.25">
      <c r="A592" t="s">
        <v>328</v>
      </c>
      <c r="B592" t="s">
        <v>255</v>
      </c>
      <c r="C592" t="s">
        <v>116</v>
      </c>
      <c r="D592" t="s">
        <v>100</v>
      </c>
      <c r="E592" t="s">
        <v>119</v>
      </c>
      <c r="F592">
        <v>250000</v>
      </c>
      <c r="G592" t="s">
        <v>102</v>
      </c>
      <c r="H592">
        <v>750000</v>
      </c>
      <c r="I592">
        <v>0.37</v>
      </c>
      <c r="J592">
        <v>0.5</v>
      </c>
      <c r="K592">
        <v>0.73</v>
      </c>
      <c r="L592">
        <v>0.85</v>
      </c>
      <c r="M592" t="s">
        <v>98</v>
      </c>
      <c r="N592" t="s">
        <v>329</v>
      </c>
      <c r="O592">
        <v>0.13</v>
      </c>
      <c r="P592">
        <v>0.21</v>
      </c>
      <c r="Q592">
        <v>7.0000000000000007E-2</v>
      </c>
      <c r="R592">
        <v>0.14000000000000001</v>
      </c>
      <c r="S592">
        <v>0.01</v>
      </c>
      <c r="T592">
        <v>0.02</v>
      </c>
      <c r="U592" t="s">
        <v>338</v>
      </c>
      <c r="V592" t="s">
        <v>438</v>
      </c>
    </row>
    <row r="593" spans="1:22" x14ac:dyDescent="0.25">
      <c r="A593" t="s">
        <v>328</v>
      </c>
      <c r="B593" t="s">
        <v>255</v>
      </c>
      <c r="C593" t="s">
        <v>116</v>
      </c>
      <c r="D593" t="s">
        <v>104</v>
      </c>
      <c r="E593" t="s">
        <v>121</v>
      </c>
      <c r="F593">
        <v>750000</v>
      </c>
      <c r="G593" t="s">
        <v>102</v>
      </c>
      <c r="I593">
        <v>0.44</v>
      </c>
      <c r="J593">
        <v>0.56000000000000005</v>
      </c>
      <c r="K593">
        <v>0.82</v>
      </c>
      <c r="L593">
        <v>0.91</v>
      </c>
      <c r="M593" t="s">
        <v>98</v>
      </c>
      <c r="N593" t="s">
        <v>329</v>
      </c>
      <c r="O593">
        <v>0.12</v>
      </c>
      <c r="P593">
        <v>0.2</v>
      </c>
      <c r="Q593">
        <v>0.05</v>
      </c>
      <c r="R593">
        <v>0.1</v>
      </c>
      <c r="S593">
        <v>0</v>
      </c>
      <c r="T593">
        <v>0.01</v>
      </c>
      <c r="U593" t="s">
        <v>338</v>
      </c>
      <c r="V593" t="s">
        <v>438</v>
      </c>
    </row>
  </sheetData>
  <sheetProtection sheet="1"/>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37"/>
  <sheetViews>
    <sheetView workbookViewId="0"/>
  </sheetViews>
  <sheetFormatPr defaultRowHeight="15" x14ac:dyDescent="0.25"/>
  <cols>
    <col min="1" max="1" width="62" customWidth="1"/>
    <col min="2" max="2" width="30" customWidth="1"/>
    <col min="3" max="3" width="70" customWidth="1"/>
  </cols>
  <sheetData>
    <row r="1" spans="1:3" x14ac:dyDescent="0.25">
      <c r="A1" s="5" t="s">
        <v>439</v>
      </c>
      <c r="B1" s="5"/>
    </row>
    <row r="2" spans="1:3" x14ac:dyDescent="0.25">
      <c r="A2" t="s">
        <v>440</v>
      </c>
      <c r="B2" s="10" t="s">
        <v>328</v>
      </c>
    </row>
    <row r="3" spans="1:3" x14ac:dyDescent="0.25">
      <c r="A3" t="s">
        <v>70</v>
      </c>
      <c r="B3" s="10" t="s">
        <v>108</v>
      </c>
    </row>
    <row r="4" spans="1:3" x14ac:dyDescent="0.25">
      <c r="A4" t="s">
        <v>441</v>
      </c>
      <c r="B4" s="10" t="s">
        <v>102</v>
      </c>
    </row>
    <row r="5" spans="1:3" x14ac:dyDescent="0.25">
      <c r="A5" t="s">
        <v>442</v>
      </c>
      <c r="B5" s="11"/>
    </row>
    <row r="6" spans="1:3" x14ac:dyDescent="0.25">
      <c r="A6" t="s">
        <v>443</v>
      </c>
      <c r="B6">
        <f>IF(B4="Y",-1,1)</f>
        <v>1</v>
      </c>
    </row>
    <row r="7" spans="1:3" x14ac:dyDescent="0.25">
      <c r="A7" s="5" t="s">
        <v>444</v>
      </c>
      <c r="B7" s="5"/>
      <c r="C7" s="5" t="s">
        <v>445</v>
      </c>
    </row>
    <row r="8" spans="1:3" x14ac:dyDescent="0.25">
      <c r="A8" t="s">
        <v>44</v>
      </c>
      <c r="B8" s="12">
        <f>SUMIFS(tblPnl[Amount],tblPnl[Bucket],A8)</f>
        <v>850000</v>
      </c>
      <c r="C8" t="s">
        <v>446</v>
      </c>
    </row>
    <row r="9" spans="1:3" x14ac:dyDescent="0.25">
      <c r="A9" t="s">
        <v>47</v>
      </c>
      <c r="B9" s="12">
        <f>SUMIFS(tblPnl[Amount],tblPnl[Bucket],A9)</f>
        <v>1200</v>
      </c>
      <c r="C9" t="s">
        <v>447</v>
      </c>
    </row>
    <row r="10" spans="1:3" x14ac:dyDescent="0.25">
      <c r="A10" t="s">
        <v>51</v>
      </c>
      <c r="B10" s="12">
        <f>SUMIFS(tblPnl[Amount],tblPnl[Bucket],A10)*$B$6</f>
        <v>270000</v>
      </c>
      <c r="C10" t="s">
        <v>448</v>
      </c>
    </row>
    <row r="11" spans="1:3" x14ac:dyDescent="0.25">
      <c r="A11" t="s">
        <v>53</v>
      </c>
      <c r="B11" s="12">
        <f>SUMIFS(tblPnl[Amount],tblPnl[Bucket],A11)*$B$6</f>
        <v>95000</v>
      </c>
      <c r="C11" t="s">
        <v>449</v>
      </c>
    </row>
    <row r="12" spans="1:3" x14ac:dyDescent="0.25">
      <c r="A12" t="s">
        <v>63</v>
      </c>
      <c r="B12" s="12">
        <f>SUMIFS(tblPnl[Amount],tblPnl[Bucket],A12)*$B$6</f>
        <v>175000</v>
      </c>
      <c r="C12" t="s">
        <v>450</v>
      </c>
    </row>
    <row r="13" spans="1:3" x14ac:dyDescent="0.25">
      <c r="A13" t="s">
        <v>57</v>
      </c>
      <c r="B13" s="12">
        <f>SUMIFS(tblPnl[Amount],tblPnl[Bucket],A13)*$B$6</f>
        <v>7800</v>
      </c>
      <c r="C13" t="s">
        <v>451</v>
      </c>
    </row>
    <row r="14" spans="1:3" x14ac:dyDescent="0.25">
      <c r="A14" t="s">
        <v>66</v>
      </c>
      <c r="B14" s="12">
        <f>SUMIFS(tblPnl[Amount],tblPnl[Bucket],A14)*$B$6</f>
        <v>45000</v>
      </c>
      <c r="C14" t="s">
        <v>452</v>
      </c>
    </row>
    <row r="15" spans="1:3" x14ac:dyDescent="0.25">
      <c r="A15" t="s">
        <v>61</v>
      </c>
      <c r="B15" s="12">
        <f>SUMIFS(tblPnl[Amount],tblPnl[Bucket],A15)*$B$6</f>
        <v>62000</v>
      </c>
      <c r="C15" t="s">
        <v>453</v>
      </c>
    </row>
    <row r="16" spans="1:3" x14ac:dyDescent="0.25">
      <c r="A16" t="s">
        <v>59</v>
      </c>
      <c r="B16" s="12">
        <f>SUMIFS(tblPnl[Amount],tblPnl[Bucket],A16)*$B$6</f>
        <v>9500</v>
      </c>
      <c r="C16" t="s">
        <v>454</v>
      </c>
    </row>
    <row r="17" spans="1:3" x14ac:dyDescent="0.25">
      <c r="A17" t="s">
        <v>55</v>
      </c>
      <c r="B17" s="12">
        <f>SUMIFS(tblPnl[Amount],tblPnl[Bucket],A17)*$B$6</f>
        <v>87650</v>
      </c>
      <c r="C17" t="s">
        <v>455</v>
      </c>
    </row>
    <row r="18" spans="1:3" x14ac:dyDescent="0.25">
      <c r="A18" t="s">
        <v>49</v>
      </c>
      <c r="B18" s="12">
        <f>SUMIFS(tblPnl[Amount],tblPnl[Bucket],A18)</f>
        <v>2287850</v>
      </c>
      <c r="C18" t="s">
        <v>456</v>
      </c>
    </row>
    <row r="19" spans="1:3" x14ac:dyDescent="0.25">
      <c r="A19" s="5" t="s">
        <v>457</v>
      </c>
      <c r="B19" s="5"/>
    </row>
    <row r="20" spans="1:3" x14ac:dyDescent="0.25">
      <c r="A20" t="s">
        <v>458</v>
      </c>
      <c r="B20" s="12">
        <f>B8</f>
        <v>850000</v>
      </c>
    </row>
    <row r="21" spans="1:3" x14ac:dyDescent="0.25">
      <c r="A21" t="s">
        <v>459</v>
      </c>
      <c r="B21" s="12">
        <f>B9</f>
        <v>1200</v>
      </c>
    </row>
    <row r="22" spans="1:3" x14ac:dyDescent="0.25">
      <c r="A22" t="s">
        <v>460</v>
      </c>
      <c r="B22" s="12">
        <f>B20+B21</f>
        <v>851200</v>
      </c>
    </row>
    <row r="23" spans="1:3" x14ac:dyDescent="0.25">
      <c r="A23" t="s">
        <v>461</v>
      </c>
      <c r="B23" s="12">
        <f>IF(OR(B20&lt;=0,B20*2&lt;B22),B22,B20)</f>
        <v>850000</v>
      </c>
    </row>
    <row r="24" spans="1:3" x14ac:dyDescent="0.25">
      <c r="A24" t="s">
        <v>462</v>
      </c>
      <c r="B24" s="12" t="str">
        <f>IF(OR(B20&lt;=0,B20*2&lt;B22),"total business income","sales of goods and services")</f>
        <v>sales of goods and services</v>
      </c>
    </row>
    <row r="25" spans="1:3" x14ac:dyDescent="0.25">
      <c r="A25" t="s">
        <v>463</v>
      </c>
      <c r="B25" s="12">
        <f>SUM(B10:B17)</f>
        <v>751950</v>
      </c>
    </row>
    <row r="26" spans="1:3" x14ac:dyDescent="0.25">
      <c r="A26" t="s">
        <v>464</v>
      </c>
      <c r="B26" s="12">
        <f>B14</f>
        <v>45000</v>
      </c>
    </row>
    <row r="27" spans="1:3" x14ac:dyDescent="0.25">
      <c r="A27" t="s">
        <v>465</v>
      </c>
      <c r="B27" s="12">
        <f>B25-B26</f>
        <v>706950</v>
      </c>
    </row>
    <row r="28" spans="1:3" x14ac:dyDescent="0.25">
      <c r="A28" t="s">
        <v>466</v>
      </c>
      <c r="B28" s="12">
        <f>B10</f>
        <v>270000</v>
      </c>
    </row>
    <row r="29" spans="1:3" x14ac:dyDescent="0.25">
      <c r="A29" t="s">
        <v>467</v>
      </c>
      <c r="B29" s="12">
        <f>B12+B11+B26</f>
        <v>315000</v>
      </c>
    </row>
    <row r="30" spans="1:3" x14ac:dyDescent="0.25">
      <c r="A30" t="s">
        <v>468</v>
      </c>
      <c r="B30" s="12">
        <f>IF(AND(B5&lt;&gt;"",B5&gt;B29),B5,B29)</f>
        <v>315000</v>
      </c>
    </row>
    <row r="31" spans="1:3" x14ac:dyDescent="0.25">
      <c r="A31" t="s">
        <v>469</v>
      </c>
      <c r="B31" s="12">
        <f>B30-B26+B13</f>
        <v>277800</v>
      </c>
    </row>
    <row r="32" spans="1:3" x14ac:dyDescent="0.25">
      <c r="A32" t="s">
        <v>470</v>
      </c>
      <c r="B32" s="8">
        <f>SUMPRODUCT(MIN(((tblBands[Year]=B2)*(tblBands[Industry]=B3)*(((B23&gt;tblBands[From])+((tblBands[FromInclusive]="Y")*(B23=tblBands[From])))&gt;0)*(((tblBands[To]="")+(B23&lt;=tblBands[To]))&gt;0))*(ROW(tblBands[Year])-1)+(1-((tblBands[Year]=B2)*(tblBands[Industry]=B3)*(((B23&gt;tblBands[From])+((tblBands[FromInclusive]="Y")*(B23=tblBands[From])))&gt;0)*(((tblBands[To]="")+(B23&lt;=tblBands[To]))&gt;0)))*1000000000))</f>
        <v>311</v>
      </c>
    </row>
    <row r="33" spans="1:2" x14ac:dyDescent="0.25">
      <c r="A33" t="s">
        <v>471</v>
      </c>
      <c r="B33" s="8">
        <f>IF(B32&gt;=1000000000,0,B32)</f>
        <v>311</v>
      </c>
    </row>
    <row r="34" spans="1:2" x14ac:dyDescent="0.25">
      <c r="A34" t="s">
        <v>472</v>
      </c>
      <c r="B34" s="8" t="str">
        <f>IF(B33=0,"none applies",INDEX(tblBands[Label],B33))</f>
        <v>More than $750,000</v>
      </c>
    </row>
    <row r="35" spans="1:2" x14ac:dyDescent="0.25">
      <c r="A35" t="s">
        <v>473</v>
      </c>
      <c r="B35" s="8">
        <f>SUMPRODUCT(MAX((tblBands[Year]=B2)*(tblBands[Industry]=B3)*(ROW(tblBands[Year])-1)))</f>
        <v>311</v>
      </c>
    </row>
    <row r="36" spans="1:2" x14ac:dyDescent="0.25">
      <c r="A36" t="s">
        <v>474</v>
      </c>
      <c r="B36" s="8" t="str">
        <f>IF(B35=0,"",INDEX(tblBands[KeyRatio],B35))</f>
        <v>cost_of_sales_to_turnover</v>
      </c>
    </row>
    <row r="37" spans="1:2" x14ac:dyDescent="0.25">
      <c r="A37" t="s">
        <v>475</v>
      </c>
      <c r="B37" s="8" t="str">
        <f>IF(AND(B36="cost_of_sales_to_turnover",B28=0),"total_expenses_to_turnover",B36)</f>
        <v>cost_of_sales_to_turnover</v>
      </c>
    </row>
  </sheetData>
  <sheetProtection sheet="1"/>
  <dataValidations count="2">
    <dataValidation type="list" sqref="B2" xr:uid="{00000000-0002-0000-0400-000000000000}">
      <formula1>"2022-23,2023-24"</formula1>
    </dataValidation>
    <dataValidation type="list" sqref="B4" xr:uid="{00000000-0002-0000-0400-000002000000}">
      <formula1>"Y,N"</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xr:uid="{00000000-0002-0000-0400-000001000000}">
          <x14:formula1>
            <xm:f>Benchmarks!$X$2:$X$101</xm:f>
          </x14:formula1>
          <xm:sqref>B3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0"/>
  <sheetViews>
    <sheetView workbookViewId="0"/>
  </sheetViews>
  <sheetFormatPr defaultRowHeight="15" x14ac:dyDescent="0.25"/>
  <cols>
    <col min="1" max="1" width="28" customWidth="1"/>
    <col min="2" max="2" width="34" customWidth="1"/>
    <col min="3" max="3" width="12" customWidth="1"/>
    <col min="4" max="5" width="16" customWidth="1"/>
    <col min="6" max="6" width="28" customWidth="1"/>
    <col min="7" max="7" width="6" customWidth="1"/>
    <col min="8" max="8" width="20" customWidth="1"/>
  </cols>
  <sheetData>
    <row r="1" spans="1:8" x14ac:dyDescent="0.25">
      <c r="A1" s="5" t="s">
        <v>476</v>
      </c>
      <c r="B1" s="5" t="s">
        <v>73</v>
      </c>
      <c r="C1" s="5" t="s">
        <v>477</v>
      </c>
      <c r="D1" s="5" t="s">
        <v>478</v>
      </c>
      <c r="E1" s="5" t="s">
        <v>479</v>
      </c>
      <c r="F1" s="5" t="s">
        <v>480</v>
      </c>
      <c r="G1" s="5" t="s">
        <v>14</v>
      </c>
      <c r="H1" s="5" t="s">
        <v>481</v>
      </c>
    </row>
    <row r="2" spans="1:8" x14ac:dyDescent="0.25">
      <c r="A2" t="s">
        <v>116</v>
      </c>
      <c r="B2" t="s">
        <v>482</v>
      </c>
      <c r="C2" s="13">
        <f>IFERROR(ROUND(Calculation!B28/Calculation!B23,4),"")</f>
        <v>0.31759999999999999</v>
      </c>
      <c r="D2" s="13">
        <f>IF(OR(Calculation!$B$33=0,INDEX(tblBands[CostOfSalesMin],Calculation!$B$33)=""),"",INDEX(tblBands[CostOfSalesMin],Calculation!$B$33))</f>
        <v>0.28999999999999998</v>
      </c>
      <c r="E2" s="13">
        <f>IF(OR(Calculation!$B$33=0,INDEX(tblBands[CostOfSalesMax],Calculation!$B$33)=""),"",INDEX(tblBands[CostOfSalesMax],Calculation!$B$33))</f>
        <v>0.36</v>
      </c>
      <c r="F2" s="8" t="str">
        <f>IF(C2="","not calculated",IF(Calculation!$B$33=0,"no turnover band applies",IF(D2="","no benchmark in this dataset",IF(AND(C2&gt;=D2,C2&lt;=E2),"within",IF(C2&lt;D2,"below","above")))))</f>
        <v>within</v>
      </c>
      <c r="G2" s="8" t="str">
        <f>IF(A2=Calculation!$B$37,"key","")</f>
        <v>key</v>
      </c>
      <c r="H2" s="8" t="str">
        <f>IF(D2="","",IF(ISNUMBER(SEARCH(A2,INDEX(tblBands[PageRanges],Calculation!$B$33))),"ato_industry_page","ato_dataset"))</f>
        <v>ato_dataset</v>
      </c>
    </row>
    <row r="3" spans="1:8" x14ac:dyDescent="0.25">
      <c r="A3" t="s">
        <v>94</v>
      </c>
      <c r="B3" t="s">
        <v>483</v>
      </c>
      <c r="C3" s="13">
        <f>IFERROR(ROUND(Calculation!B27/Calculation!B23,4),"")</f>
        <v>0.83169999999999999</v>
      </c>
      <c r="D3" s="13">
        <f>IF(OR(Calculation!$B$33=0,INDEX(tblBands[TotalExpensesMin],Calculation!$B$33)=""),"",INDEX(tblBands[TotalExpensesMin],Calculation!$B$33))</f>
        <v>0.82</v>
      </c>
      <c r="E3" s="13">
        <f>IF(OR(Calculation!$B$33=0,INDEX(tblBands[TotalExpensesMax],Calculation!$B$33)=""),"",INDEX(tblBands[TotalExpensesMax],Calculation!$B$33))</f>
        <v>0.9</v>
      </c>
      <c r="F3" s="8" t="str">
        <f>IF(C3="","not calculated",IF(Calculation!$B$33=0,"no turnover band applies",IF(D3="","no benchmark in this dataset",IF(AND(C3&gt;=D3,C3&lt;=E3),"within",IF(C3&lt;D3,"below","above")))))</f>
        <v>within</v>
      </c>
      <c r="G3" s="8" t="str">
        <f>IF(A3=Calculation!$B$37,"key","")</f>
        <v/>
      </c>
      <c r="H3" s="8" t="str">
        <f>IF(D3="","",IF(ISNUMBER(SEARCH(A3,INDEX(tblBands[PageRanges],Calculation!$B$33))),"ato_industry_page","ato_dataset"))</f>
        <v>ato_dataset</v>
      </c>
    </row>
    <row r="4" spans="1:8" x14ac:dyDescent="0.25">
      <c r="A4" t="s">
        <v>484</v>
      </c>
      <c r="B4" t="s">
        <v>485</v>
      </c>
      <c r="C4" s="13">
        <f>IFERROR(ROUND(Calculation!B31/Calculation!B23,4),"")</f>
        <v>0.32679999999999998</v>
      </c>
      <c r="D4" s="13">
        <f>IF(OR(Calculation!$B$33=0,INDEX(tblBands[LabourMin],Calculation!$B$33)=""),"",INDEX(tblBands[LabourMin],Calculation!$B$33))</f>
        <v>0.25</v>
      </c>
      <c r="E4" s="13">
        <f>IF(OR(Calculation!$B$33=0,INDEX(tblBands[LabourMax],Calculation!$B$33)=""),"",INDEX(tblBands[LabourMax],Calculation!$B$33))</f>
        <v>0.34</v>
      </c>
      <c r="F4" s="8" t="str">
        <f>IF(C4="","not calculated",IF(Calculation!$B$33=0,"no turnover band applies",IF(D4="","no benchmark in this dataset",IF(AND(C4&gt;=D4,C4&lt;=E4),"within",IF(C4&lt;D4,"below","above")))))</f>
        <v>within</v>
      </c>
      <c r="G4" s="8" t="str">
        <f>IF(A4=Calculation!$B$37,"key","")</f>
        <v/>
      </c>
      <c r="H4" s="8" t="str">
        <f>IF(D4="","",IF(ISNUMBER(SEARCH(A4,INDEX(tblBands[PageRanges],Calculation!$B$33))),"ato_industry_page","ato_dataset"))</f>
        <v>ato_industry_page</v>
      </c>
    </row>
    <row r="5" spans="1:8" x14ac:dyDescent="0.25">
      <c r="A5" t="s">
        <v>486</v>
      </c>
      <c r="B5" t="s">
        <v>487</v>
      </c>
      <c r="C5" s="13">
        <f>IFERROR(ROUND(Calculation!B15/Calculation!B23,4),"")</f>
        <v>7.2900000000000006E-2</v>
      </c>
      <c r="D5" s="13">
        <f>IF(OR(Calculation!$B$33=0,INDEX(tblBands[RentMin],Calculation!$B$33)=""),"",INDEX(tblBands[RentMin],Calculation!$B$33))</f>
        <v>0.05</v>
      </c>
      <c r="E5" s="13">
        <f>IF(OR(Calculation!$B$33=0,INDEX(tblBands[RentMax],Calculation!$B$33)=""),"",INDEX(tblBands[RentMax],Calculation!$B$33))</f>
        <v>0.08</v>
      </c>
      <c r="F5" s="8" t="str">
        <f>IF(C5="","not calculated",IF(Calculation!$B$33=0,"no turnover band applies",IF(D5="","no benchmark in this dataset",IF(AND(C5&gt;=D5,C5&lt;=E5),"within",IF(C5&lt;D5,"below","above")))))</f>
        <v>within</v>
      </c>
      <c r="G5" s="8" t="str">
        <f>IF(A5=Calculation!$B$37,"key","")</f>
        <v/>
      </c>
      <c r="H5" s="8" t="str">
        <f>IF(D5="","",IF(ISNUMBER(SEARCH(A5,INDEX(tblBands[PageRanges],Calculation!$B$33))),"ato_industry_page","ato_dataset"))</f>
        <v>ato_industry_page</v>
      </c>
    </row>
    <row r="6" spans="1:8" x14ac:dyDescent="0.25">
      <c r="A6" t="s">
        <v>343</v>
      </c>
      <c r="B6" t="s">
        <v>488</v>
      </c>
      <c r="C6" s="13">
        <f>IFERROR(ROUND(Calculation!B16/Calculation!B23,4),"")</f>
        <v>1.12E-2</v>
      </c>
      <c r="D6" s="13">
        <f>IF(OR(Calculation!$B$33=0,INDEX(tblBands[MotorVehicleMin],Calculation!$B$33)=""),"",INDEX(tblBands[MotorVehicleMin],Calculation!$B$33))</f>
        <v>0.01</v>
      </c>
      <c r="E6" s="13">
        <f>IF(OR(Calculation!$B$33=0,INDEX(tblBands[MotorVehicleMax],Calculation!$B$33)=""),"",INDEX(tblBands[MotorVehicleMax],Calculation!$B$33))</f>
        <v>0.01</v>
      </c>
      <c r="F6" s="8" t="str">
        <f>IF(C6="","not calculated",IF(Calculation!$B$33=0,"no turnover band applies",IF(D6="","no benchmark in this dataset",IF(AND(C6&gt;=D6,C6&lt;=E6),"within",IF(C6&lt;D6,"below","above")))))</f>
        <v>above</v>
      </c>
      <c r="G6" s="8" t="str">
        <f>IF(A6=Calculation!$B$37,"key","")</f>
        <v/>
      </c>
      <c r="H6" s="8" t="str">
        <f>IF(D6="","",IF(ISNUMBER(SEARCH(A6,INDEX(tblBands[PageRanges],Calculation!$B$33))),"ato_industry_page","ato_dataset"))</f>
        <v>ato_industry_page</v>
      </c>
    </row>
    <row r="8" spans="1:8" x14ac:dyDescent="0.25">
      <c r="A8" t="s">
        <v>461</v>
      </c>
      <c r="B8" s="12">
        <f>Calculation!B23</f>
        <v>850000</v>
      </c>
    </row>
    <row r="9" spans="1:8" x14ac:dyDescent="0.25">
      <c r="A9" t="s">
        <v>472</v>
      </c>
      <c r="B9" s="8" t="str">
        <f>Calculation!B34</f>
        <v>More than $750,000</v>
      </c>
    </row>
    <row r="10" spans="1:8" x14ac:dyDescent="0.25">
      <c r="A10" t="s">
        <v>489</v>
      </c>
      <c r="B10" s="8" t="str">
        <f>Calculation!B2&amp;" "&amp;Calculation!B3</f>
        <v>2023-24 Bakeries and hot bread shops</v>
      </c>
    </row>
  </sheetData>
  <sheetProtection sheet="1"/>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23"/>
  <sheetViews>
    <sheetView workbookViewId="0"/>
  </sheetViews>
  <sheetFormatPr defaultRowHeight="15" x14ac:dyDescent="0.25"/>
  <cols>
    <col min="1" max="1" width="100" customWidth="1"/>
    <col min="2" max="2" width="12" customWidth="1"/>
    <col min="3" max="3" width="40" customWidth="1"/>
    <col min="4" max="4" width="34" customWidth="1"/>
  </cols>
  <sheetData>
    <row r="1" spans="1:4" x14ac:dyDescent="0.25">
      <c r="A1" s="5" t="s">
        <v>490</v>
      </c>
      <c r="B1" s="5" t="s">
        <v>491</v>
      </c>
      <c r="C1" s="5" t="s">
        <v>492</v>
      </c>
      <c r="D1" s="5" t="s">
        <v>493</v>
      </c>
    </row>
    <row r="2" spans="1:4" x14ac:dyDescent="0.25">
      <c r="A2" t="s">
        <v>494</v>
      </c>
      <c r="B2" s="8" t="str">
        <f>IF(C2=0,"PASS","BLOCKED")</f>
        <v>PASS</v>
      </c>
      <c r="C2" s="8">
        <f>SUMPRODUCT((tblPnl[Account]&lt;&gt;"")*(MMULT(--(tblPnl[Bucket]={"turnover","other_income","cost_of_sales","cost_of_sales_labour","salary_wages","contractor_commission","associated_persons","rent","motor_vehicle","other_expense","excluded"}),{1;1;1;1;1;1;1;1;1;1;1})=0))</f>
        <v>0</v>
      </c>
      <c r="D2" s="8" t="str">
        <f t="array" ref="D2">IF(C2=0,"",INDEX(tblPnl[Account],SUMPRODUCT(MAX((tblPnl[Account]&lt;&gt;"")*(MMULT(--(tblPnl[Bucket]={"turnover","other_income","cost_of_sales","cost_of_sales_labour","salary_wages","contractor_commission","associated_persons","rent","motor_vehicle","other_expense","excluded"}),{1;1;1;1;1;1;1;1;1;1;1})=0)*(ROW(tblPnl[Account])-1)))))</f>
        <v/>
      </c>
    </row>
    <row r="3" spans="1:4" x14ac:dyDescent="0.25">
      <c r="A3" t="s">
        <v>495</v>
      </c>
      <c r="B3" s="8" t="str">
        <f>IF(C3=0,"PASS","BLOCKED")</f>
        <v>PASS</v>
      </c>
      <c r="C3" s="8">
        <f>SUMPRODUCT(--(TRIM(LOWER(tblMapping[Source]))="suggested"))</f>
        <v>0</v>
      </c>
      <c r="D3" s="8" t="str">
        <f t="array" ref="D3">IF(C3=0,"",INDEX(tblMapping[Account],SUMPRODUCT(MAX((TRIM(LOWER(tblMapping[Source]))="suggested")*(ROW(tblMapping[Account])-1)))))</f>
        <v/>
      </c>
    </row>
    <row r="4" spans="1:4" x14ac:dyDescent="0.25">
      <c r="A4" t="s">
        <v>496</v>
      </c>
      <c r="B4" s="8" t="str">
        <f>IF(C4=0,"PASS","BLOCKED")</f>
        <v>PASS</v>
      </c>
      <c r="C4" s="8">
        <f>SUM(tblPnl[Guard])</f>
        <v>0</v>
      </c>
      <c r="D4" s="8" t="str">
        <f t="array" ref="D4">IF(C4=0,"",INDEX(tblPnl[Account],SUMPRODUCT(MAX((tblPnl[Guard]=1)*(ROW(tblPnl[Account])-1)))))</f>
        <v/>
      </c>
    </row>
    <row r="5" spans="1:4" x14ac:dyDescent="0.25">
      <c r="A5" t="s">
        <v>497</v>
      </c>
      <c r="B5" s="8" t="str">
        <f>IF(C5=0,"PASS","BLOCKED")</f>
        <v>PASS</v>
      </c>
      <c r="C5" s="8">
        <f t="array" ref="C5">SUMPRODUCT((MMULT(--(tblPnl[Key]=TRANSPOSE(tblPnl[Key])),ROW(tblPnl[Key])^0)&gt;1)*(tblPnl[Key]&lt;&gt;""))</f>
        <v>0</v>
      </c>
      <c r="D5" s="8" t="str">
        <f t="array" ref="D5">IF(C5=0,"",INDEX(tblPnl[Account],SUMPRODUCT(MAX((MMULT(--(tblPnl[Key]=TRANSPOSE(tblPnl[Key])),ROW(tblPnl[Key])^0)&gt;1)*(tblPnl[Key]&lt;&gt;"")*(ROW(tblPnl[Account])-1)))))</f>
        <v/>
      </c>
    </row>
    <row r="6" spans="1:4" x14ac:dyDescent="0.25">
      <c r="A6" t="s">
        <v>498</v>
      </c>
      <c r="B6" s="8" t="str">
        <f>IF(C6=0,"PASS","BLOCKED")</f>
        <v>PASS</v>
      </c>
      <c r="C6" s="8">
        <f t="array" ref="C6">SUMPRODUCT((MMULT(--(tblMapping[Key]=TRANSPOSE(tblMapping[Key])),ROW(tblMapping[Key])^0)&gt;1)*(tblMapping[Key]&lt;&gt;""))</f>
        <v>0</v>
      </c>
      <c r="D6" s="8" t="str">
        <f t="array" ref="D6">IF(C6=0,"",INDEX(tblMapping[Account],SUMPRODUCT(MAX((MMULT(--(tblMapping[Key]=TRANSPOSE(tblMapping[Key])),ROW(tblMapping[Key])^0)&gt;1)*(tblMapping[Key]&lt;&gt;"")*(ROW(tblMapping[Account])-1)))))</f>
        <v/>
      </c>
    </row>
    <row r="7" spans="1:4" x14ac:dyDescent="0.25">
      <c r="A7" t="s">
        <v>499</v>
      </c>
      <c r="B7" s="8" t="str">
        <f>IF(AND(Calculation!B5&lt;&gt;"",Calculation!B5&lt;0),"BLOCKED","PASS")</f>
        <v>PASS</v>
      </c>
      <c r="C7" s="8">
        <f>Calculation!B5</f>
        <v>0</v>
      </c>
      <c r="D7" s="8"/>
    </row>
    <row r="8" spans="1:4" x14ac:dyDescent="0.25">
      <c r="A8" t="s">
        <v>500</v>
      </c>
      <c r="B8" s="8" t="str">
        <f>IF(Calculation!B23&gt;0,"PASS","BLOCKED")</f>
        <v>PASS</v>
      </c>
      <c r="C8" s="8">
        <f>Calculation!B23</f>
        <v>850000</v>
      </c>
      <c r="D8" s="8"/>
    </row>
    <row r="9" spans="1:4" x14ac:dyDescent="0.25">
      <c r="A9" t="s">
        <v>501</v>
      </c>
      <c r="B9" s="8" t="str">
        <f>IF(Calculation!B35=0,"BLOCKED","PASS")</f>
        <v>PASS</v>
      </c>
      <c r="C9" s="8" t="str">
        <f>Calculation!B2&amp;" "&amp;Calculation!B3</f>
        <v>2023-24 Bakeries and hot bread shops</v>
      </c>
      <c r="D9" s="8"/>
    </row>
    <row r="10" spans="1:4" x14ac:dyDescent="0.25">
      <c r="A10" t="s">
        <v>502</v>
      </c>
      <c r="B10" s="8" t="str">
        <f>IF(Calculation!B33=0,"REVIEW","PASS")</f>
        <v>PASS</v>
      </c>
      <c r="C10" s="8" t="str">
        <f>Calculation!B34</f>
        <v>More than $750,000</v>
      </c>
      <c r="D10" s="8"/>
    </row>
    <row r="11" spans="1:4" x14ac:dyDescent="0.25">
      <c r="A11" t="s">
        <v>503</v>
      </c>
      <c r="B11" s="8" t="str">
        <f>IF(C11="within","PASS","REVIEW")</f>
        <v>PASS</v>
      </c>
      <c r="C11" s="8" t="str">
        <f>IFERROR(INDEX(Results!F2:F6,MATCH(Calculation!B37,Results!A2:A6,0)),"not calculated")</f>
        <v>within</v>
      </c>
      <c r="D11" s="8"/>
    </row>
    <row r="12" spans="1:4" x14ac:dyDescent="0.25">
      <c r="A12" t="s">
        <v>504</v>
      </c>
      <c r="B12" s="8" t="str">
        <f>IF(C12=0,"PASS","REVIEW")</f>
        <v>REVIEW</v>
      </c>
      <c r="C12" s="8">
        <f>SUM(tblPnl[Sample])</f>
        <v>27</v>
      </c>
      <c r="D12" s="8" t="str">
        <f t="array" ref="D12">IF(C12=0,"",INDEX(tblPnl[Account],SUMPRODUCT(MAX((tblPnl[Sample]=1)*(ROW(tblPnl[Account])-1)))))</f>
        <v>Net Profit</v>
      </c>
    </row>
    <row r="13" spans="1:4" x14ac:dyDescent="0.25">
      <c r="A13" s="3" t="s">
        <v>7</v>
      </c>
      <c r="B13" s="14" t="str">
        <f>IF(COUNTIF(B2:B12,"BLOCKED")&gt;0,"BLOCKED",IF(COUNTIF(B2:B12,"REVIEW")&gt;0,"REVIEW","PASS"))</f>
        <v>REVIEW</v>
      </c>
    </row>
    <row r="15" spans="1:4" x14ac:dyDescent="0.25">
      <c r="A15" s="5" t="s">
        <v>505</v>
      </c>
    </row>
    <row r="16" spans="1:4" x14ac:dyDescent="0.25">
      <c r="A16" s="15" t="str">
        <f>IF(Calculation!B24="total business income","Sales of goods and services are not positive or are less than half of total business income, so total business income is used as turnover. That is the ATO rule, but check the mapping.","")</f>
        <v/>
      </c>
    </row>
    <row r="17" spans="1:1" x14ac:dyDescent="0.25">
      <c r="A17" s="15" t="str">
        <f>IF(AND(Calculation!B5&lt;&gt;"",Calculation!B5&gt;Calculation!B29),"Activity statement W1 is greater than the salary and wages label, so W1 is used in the labour ratio.","")</f>
        <v/>
      </c>
    </row>
    <row r="18" spans="1:1" x14ac:dyDescent="0.25">
      <c r="A18" s="15" t="str">
        <f>IF(AND(Calculation!B5="",Calculation!B11+Calculation!B12&gt;0),"No activity statement W1 amount was supplied. The ATO uses W1 for the labour ratio when it exceeds the salary and wages figure.","")</f>
        <v>No activity statement W1 amount was supplied. The ATO uses W1 for the labour ratio when it exceeds the salary and wages figure.</v>
      </c>
    </row>
    <row r="19" spans="1:1" x14ac:dyDescent="0.25">
      <c r="A19" s="15" t="str">
        <f>IF(Calculation!B26=0,"No payments to associated persons were mapped. They are deducted from total expenses, so a zero here raises the total expenses ratio.","")</f>
        <v/>
      </c>
    </row>
    <row r="20" spans="1:1" x14ac:dyDescent="0.25">
      <c r="A20" s="15" t="str">
        <f>IF(AND(Calculation!B28&gt;0,Calculation!B11=0),"No salary and wages were mapped inside cost of sales. The ATO excludes wages from the cost of sales ratio, so confirm none are sitting in those accounts.","")</f>
        <v/>
      </c>
    </row>
    <row r="21" spans="1:1" x14ac:dyDescent="0.25">
      <c r="A21" s="15" t="str">
        <f>IF(MIN(Calculation!B10:B17)&lt;0,"An expense bucket is negative. Check the sign convention of the export, or set Calculation!B4 to Y.","")</f>
        <v/>
      </c>
    </row>
    <row r="22" spans="1:1" x14ac:dyDescent="0.25">
      <c r="A22" s="15" t="str">
        <f>IF(Calculation!B36="cost_of_sales_to_turnover",IF(Calculation!B28=0,"Cost of sales is the ATO key range for this industry but none was mapped, so total expenses to turnover is the key range used here.","The ATO says to use total expenses to turnover as the key range where cost of sales is only a small amount. Both ranges are reported and that judgement is yours."),"")</f>
        <v>The ATO says to use total expenses to turnover as the key range where cost of sales is only a small amount. Both ranges are reported and that judgement is yours.</v>
      </c>
    </row>
    <row r="23" spans="1:1" x14ac:dyDescent="0.25">
      <c r="A23" s="15" t="str">
        <f>IF(COUNTIF(Results!H2:H6,"ato_industry_page")&gt;0,"Some ranges on Results come from the ATO's page for this industry, not the data.gov.au dataset (Range source column). The ATO says not every business reports these expenses and to use these ranges only as a guide where they apply.","")</f>
        <v>Some ranges on Results come from the ATO's page for this industry, not the data.gov.au dataset (Range source column). The ATO says not every business reports these expenses and to use these ranges only as a guide where they apply.</v>
      </c>
    </row>
  </sheetData>
  <sheetProtection sheet="1"/>
  <conditionalFormatting sqref="B2:B13">
    <cfRule type="cellIs" dxfId="2" priority="1" operator="equal">
      <formula>"BLOCKED"</formula>
    </cfRule>
    <cfRule type="cellIs" dxfId="1" priority="2" operator="equal">
      <formula>"REVIEW"</formula>
    </cfRule>
    <cfRule type="cellIs" dxfId="0" priority="3" operator="equal">
      <formula>"PASS"</formula>
    </cfRule>
  </conditionalFormatting>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20"/>
  <sheetViews>
    <sheetView workbookViewId="0"/>
  </sheetViews>
  <sheetFormatPr defaultRowHeight="15" x14ac:dyDescent="0.25"/>
  <cols>
    <col min="1" max="1" width="52" customWidth="1"/>
    <col min="2" max="2" width="110" customWidth="1"/>
  </cols>
  <sheetData>
    <row r="1" spans="1:2" x14ac:dyDescent="0.25">
      <c r="A1" s="5" t="s">
        <v>506</v>
      </c>
      <c r="B1" s="5" t="s">
        <v>507</v>
      </c>
    </row>
    <row r="2" spans="1:2" x14ac:dyDescent="0.25">
      <c r="A2" t="s">
        <v>508</v>
      </c>
      <c r="B2" t="s">
        <v>509</v>
      </c>
    </row>
    <row r="3" spans="1:2" x14ac:dyDescent="0.25">
      <c r="A3" t="s">
        <v>510</v>
      </c>
      <c r="B3" t="s">
        <v>538</v>
      </c>
    </row>
    <row r="4" spans="1:2" x14ac:dyDescent="0.25">
      <c r="A4" t="s">
        <v>511</v>
      </c>
      <c r="B4" t="s">
        <v>512</v>
      </c>
    </row>
    <row r="5" spans="1:2" x14ac:dyDescent="0.25">
      <c r="A5" t="s">
        <v>513</v>
      </c>
      <c r="B5" t="s">
        <v>514</v>
      </c>
    </row>
    <row r="6" spans="1:2" x14ac:dyDescent="0.25">
      <c r="A6" t="s">
        <v>515</v>
      </c>
      <c r="B6" t="s">
        <v>516</v>
      </c>
    </row>
    <row r="7" spans="1:2" x14ac:dyDescent="0.25">
      <c r="A7" t="s">
        <v>517</v>
      </c>
      <c r="B7" t="s">
        <v>98</v>
      </c>
    </row>
    <row r="8" spans="1:2" x14ac:dyDescent="0.25">
      <c r="A8" t="s">
        <v>518</v>
      </c>
      <c r="B8" t="s">
        <v>99</v>
      </c>
    </row>
    <row r="9" spans="1:2" x14ac:dyDescent="0.25">
      <c r="A9" t="s">
        <v>519</v>
      </c>
      <c r="B9" t="s">
        <v>520</v>
      </c>
    </row>
    <row r="10" spans="1:2" x14ac:dyDescent="0.25">
      <c r="A10" t="s">
        <v>521</v>
      </c>
      <c r="B10" t="s">
        <v>512</v>
      </c>
    </row>
    <row r="11" spans="1:2" x14ac:dyDescent="0.25">
      <c r="A11" t="s">
        <v>522</v>
      </c>
      <c r="B11" t="s">
        <v>514</v>
      </c>
    </row>
    <row r="12" spans="1:2" x14ac:dyDescent="0.25">
      <c r="A12" t="s">
        <v>523</v>
      </c>
      <c r="B12" t="s">
        <v>524</v>
      </c>
    </row>
    <row r="13" spans="1:2" x14ac:dyDescent="0.25">
      <c r="A13" t="s">
        <v>525</v>
      </c>
      <c r="B13" t="s">
        <v>98</v>
      </c>
    </row>
    <row r="14" spans="1:2" x14ac:dyDescent="0.25">
      <c r="A14" t="s">
        <v>526</v>
      </c>
      <c r="B14" t="s">
        <v>329</v>
      </c>
    </row>
    <row r="15" spans="1:2" x14ac:dyDescent="0.25">
      <c r="A15" t="s">
        <v>527</v>
      </c>
      <c r="B15" t="s">
        <v>520</v>
      </c>
    </row>
    <row r="16" spans="1:2" x14ac:dyDescent="0.25">
      <c r="A16" t="s">
        <v>528</v>
      </c>
      <c r="B16" t="s">
        <v>529</v>
      </c>
    </row>
    <row r="17" spans="1:2" x14ac:dyDescent="0.25">
      <c r="A17" t="s">
        <v>530</v>
      </c>
      <c r="B17" t="s">
        <v>531</v>
      </c>
    </row>
    <row r="18" spans="1:2" x14ac:dyDescent="0.25">
      <c r="A18" t="s">
        <v>532</v>
      </c>
      <c r="B18" t="s">
        <v>533</v>
      </c>
    </row>
    <row r="19" spans="1:2" x14ac:dyDescent="0.25">
      <c r="A19" t="s">
        <v>534</v>
      </c>
      <c r="B19" t="s">
        <v>535</v>
      </c>
    </row>
    <row r="20" spans="1:2" x14ac:dyDescent="0.25">
      <c r="A20" t="s">
        <v>536</v>
      </c>
      <c r="B20" t="s">
        <v>537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Start Here</vt:lpstr>
      <vt:lpstr>P&amp;L Import</vt:lpstr>
      <vt:lpstr>Mapping</vt:lpstr>
      <vt:lpstr>Benchmarks</vt:lpstr>
      <vt:lpstr>Calculation</vt:lpstr>
      <vt:lpstr>Results</vt:lpstr>
      <vt:lpstr>Review Checks</vt:lpstr>
      <vt:lpstr>Sources &amp; Version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Ryan Duguid</cp:lastModifiedBy>
  <dcterms:created xsi:type="dcterms:W3CDTF">2026-10-19T12:08:17Z</dcterms:created>
  <dcterms:modified xsi:type="dcterms:W3CDTF">2026-10-19T12:08:20Z</dcterms:modified>
</cp:coreProperties>
</file>