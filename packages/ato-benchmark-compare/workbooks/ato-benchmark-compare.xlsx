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mc:AlternateContent>
  <xr:revisionPtr revIDLastSave="0" documentId="13_ncr:1_{56A24246-3926-4A7F-825D-2E36F977E904}" xr6:coauthVersionLast="47" xr6:coauthVersionMax="47" xr10:uidLastSave="{00000000-0000-0000-0000-000000000000}"/>
  <bookViews>
    <workbookView xWindow="-120" yWindow="-120" windowWidth="51840" windowHeight="21120"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5" i="7"/>
  <c r="C3" i="7"/>
  <c r="D3" i="7" s="1" a="1"/>
  <c r="D3" i="7" s="1"/>
  <c r="B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E28" i="2"/>
  <c r="D28" i="2"/>
  <c r="E27" i="2"/>
  <c r="D27" i="2"/>
  <c r="E26" i="2"/>
  <c r="D26" i="2"/>
  <c r="E25" i="2"/>
  <c r="D25" i="2"/>
  <c r="E24" i="2"/>
  <c r="D24" i="2"/>
  <c r="E23" i="2"/>
  <c r="D23" i="2"/>
  <c r="E22" i="2"/>
  <c r="D22" i="2"/>
  <c r="E21" i="2"/>
  <c r="D21" i="2"/>
  <c r="E20" i="2"/>
  <c r="D20" i="2"/>
  <c r="E19" i="2"/>
  <c r="D19" i="2"/>
  <c r="E18" i="2"/>
  <c r="D18" i="2"/>
  <c r="C18" i="2"/>
  <c r="E17" i="2"/>
  <c r="D17" i="2"/>
  <c r="E16" i="2"/>
  <c r="D16" i="2"/>
  <c r="E15" i="2"/>
  <c r="D15" i="2"/>
  <c r="E14" i="2"/>
  <c r="D14" i="2"/>
  <c r="E13" i="2"/>
  <c r="D13" i="2"/>
  <c r="E12" i="2"/>
  <c r="D12" i="2"/>
  <c r="E11" i="2"/>
  <c r="D11" i="2"/>
  <c r="E10" i="2"/>
  <c r="D10" i="2"/>
  <c r="C10" i="2"/>
  <c r="E9" i="2"/>
  <c r="D9" i="2"/>
  <c r="C9" i="2"/>
  <c r="E8" i="2"/>
  <c r="D8" i="2"/>
  <c r="C8" i="2"/>
  <c r="E7" i="2"/>
  <c r="D7" i="2"/>
  <c r="C7" i="2"/>
  <c r="E6" i="2"/>
  <c r="D6" i="2"/>
  <c r="C6" i="2"/>
  <c r="E5" i="2"/>
  <c r="D5" i="2"/>
  <c r="E4" i="2"/>
  <c r="D4" i="2"/>
  <c r="C4" i="2"/>
  <c r="E3" i="2"/>
  <c r="D3" i="2"/>
  <c r="C3" i="2"/>
  <c r="E2" i="2"/>
  <c r="D2" i="2"/>
  <c r="C4" i="7" s="1"/>
  <c r="C2" i="2"/>
  <c r="C6" i="7" l="1"/>
  <c r="C12" i="7"/>
  <c r="D5" i="7" a="1"/>
  <c r="D5" i="7" s="1"/>
  <c r="B5" i="7"/>
  <c r="C15" i="2"/>
  <c r="C23" i="2"/>
  <c r="C21" i="2"/>
  <c r="C14" i="2"/>
  <c r="C17" i="2"/>
  <c r="C16" i="2"/>
  <c r="C12" i="2"/>
  <c r="C25" i="2"/>
  <c r="C24" i="2"/>
  <c r="C20" i="2"/>
  <c r="C13" i="2"/>
  <c r="C11" i="2"/>
  <c r="C5" i="2"/>
  <c r="B9" i="7"/>
  <c r="B36" i="5"/>
  <c r="C28" i="2"/>
  <c r="C27" i="2"/>
  <c r="C26" i="2"/>
  <c r="B17" i="5" s="1"/>
  <c r="C22" i="2"/>
  <c r="C19" i="2"/>
  <c r="D4" i="7" a="1"/>
  <c r="D4" i="7" s="1"/>
  <c r="B4" i="7"/>
  <c r="D6" i="7" l="1" a="1"/>
  <c r="D6" i="7" s="1"/>
  <c r="B6" i="7"/>
  <c r="D12" i="7" a="1"/>
  <c r="D12" i="7" s="1"/>
  <c r="B12" i="7"/>
  <c r="B8" i="5"/>
  <c r="B20" i="5" s="1"/>
  <c r="B13" i="5"/>
  <c r="B16" i="5"/>
  <c r="B14" i="5"/>
  <c r="B26" i="5" s="1"/>
  <c r="A19" i="7" s="1"/>
  <c r="B12" i="5"/>
  <c r="B11" i="5"/>
  <c r="A18" i="7" s="1"/>
  <c r="B10" i="5"/>
  <c r="B18" i="5"/>
  <c r="B9" i="5"/>
  <c r="B21" i="5" s="1"/>
  <c r="C2" i="7"/>
  <c r="B15" i="5"/>
  <c r="B22" i="5" l="1"/>
  <c r="A21" i="7"/>
  <c r="B28" i="5"/>
  <c r="B25" i="5"/>
  <c r="B27" i="5" s="1"/>
  <c r="B2" i="7"/>
  <c r="D2" i="7" a="1"/>
  <c r="D2" i="7" s="1"/>
  <c r="B29" i="5"/>
  <c r="B24" i="5" l="1"/>
  <c r="A16" i="7" s="1"/>
  <c r="B23" i="5"/>
  <c r="B32" i="5"/>
  <c r="B33" i="5" s="1"/>
  <c r="B8" i="6"/>
  <c r="B8" i="7"/>
  <c r="C8" i="7"/>
  <c r="A22" i="7"/>
  <c r="B37" i="5"/>
  <c r="C2" i="6"/>
  <c r="A20" i="7"/>
  <c r="B30" i="5"/>
  <c r="B31" i="5" s="1"/>
  <c r="C4" i="6" s="1"/>
  <c r="A17" i="7"/>
  <c r="C3" i="6" l="1"/>
  <c r="C5" i="6"/>
  <c r="F5" i="6" s="1"/>
  <c r="C6" i="6"/>
  <c r="F6" i="6" s="1"/>
  <c r="B34" i="5"/>
  <c r="D2" i="6"/>
  <c r="E2" i="6"/>
  <c r="D3" i="6"/>
  <c r="E3" i="6"/>
  <c r="B10" i="7"/>
  <c r="G6" i="6"/>
  <c r="G5" i="6"/>
  <c r="G3" i="6"/>
  <c r="G4" i="6"/>
  <c r="G2" i="6"/>
  <c r="F4" i="6"/>
  <c r="F2" i="6"/>
  <c r="C11" i="7" s="1"/>
  <c r="B11" i="7" s="1"/>
  <c r="F3" i="6" l="1"/>
  <c r="B9" i="6"/>
  <c r="C10" i="7"/>
  <c r="B13" i="7"/>
  <c r="A11" i="1" s="1"/>
</calcChain>
</file>

<file path=xl/sharedStrings.xml><?xml version="1.0" encoding="utf-8"?>
<sst xmlns="http://schemas.openxmlformats.org/spreadsheetml/2006/main" count="5124" uniqueCount="414">
  <si>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</si>
  <si>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</si>
  <si>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</si>
  <si>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</si>
  <si>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</si>
  <si>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</si>
  <si>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</si>
  <si>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</si>
  <si>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0.1.6. Macro-free. Not advice; see DISCLAIMER.md in the repository.</t>
  </si>
  <si>
    <t>Account</t>
  </si>
  <si>
    <t>Amount</t>
  </si>
  <si>
    <t>Bucket</t>
  </si>
  <si>
    <t>Guard</t>
  </si>
  <si>
    <t>Sample</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</si>
  <si>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</si>
  <si>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</si>
  <si>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</si>
  <si>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</si>
  <si>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</si>
  <si>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</si>
  <si>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</si>
  <si>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</si>
  <si>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</si>
  <si>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</si>
  <si>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</si>
  <si>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</si>
  <si>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</si>
  <si>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</si>
  <si>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</si>
  <si>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</si>
  <si>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</si>
  <si>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</si>
  <si>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</si>
  <si>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</si>
  <si>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</si>
  <si>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</si>
  <si>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</si>
  <si>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</si>
  <si>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</si>
  <si>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</si>
  <si>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</si>
  <si>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</si>
  <si>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</si>
  <si>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Key</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</si>
  <si>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</si>
  <si>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</si>
  <si>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</si>
  <si>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</si>
  <si>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</si>
  <si>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</si>
  <si>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</si>
  <si>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</si>
  <si>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</si>
  <si>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</si>
  <si>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</si>
  <si>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</si>
  <si>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</si>
  <si>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</si>
  <si>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</si>
  <si>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</si>
  <si>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</si>
  <si>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</si>
  <si>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</si>
  <si>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</si>
  <si>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</si>
  <si>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</si>
  <si>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</si>
  <si>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</si>
  <si>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</si>
  <si>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</si>
  <si>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</si>
  <si>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</si>
  <si>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</si>
  <si>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</si>
  <si>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</si>
  <si>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</si>
  <si>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</si>
  <si>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</si>
  <si>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</si>
  <si>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</si>
  <si>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</si>
  <si>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</si>
  <si>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</si>
  <si>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</si>
  <si>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</si>
  <si>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</si>
  <si>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</si>
  <si>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</si>
  <si>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</si>
  <si>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</si>
  <si>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</si>
  <si>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</si>
  <si>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</si>
  <si>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</si>
  <si>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</si>
  <si>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</si>
  <si>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</si>
  <si>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</si>
  <si>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</si>
  <si>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</si>
  <si>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</si>
  <si>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</si>
  <si>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</si>
  <si>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</si>
  <si>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</si>
  <si>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</si>
  <si>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</si>
  <si>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</si>
  <si>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</si>
  <si>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</si>
  <si>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</si>
  <si>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</si>
  <si>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</si>
  <si>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</si>
  <si>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</si>
  <si>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</si>
  <si>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</si>
  <si>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</si>
  <si>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</si>
  <si>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</si>
  <si>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</si>
  <si>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</si>
  <si>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</si>
  <si>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</si>
  <si>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</si>
  <si>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</si>
  <si>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</si>
  <si>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</si>
  <si>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</si>
  <si>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</si>
  <si>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</si>
  <si>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</si>
  <si>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</si>
  <si>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</si>
  <si>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</si>
  <si>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</si>
  <si>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</si>
  <si>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</si>
  <si>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</si>
  <si>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</si>
  <si>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</si>
  <si>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</si>
  <si>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</si>
  <si>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</si>
  <si>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</si>
  <si>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</si>
  <si>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</si>
  <si>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</si>
  <si>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</si>
  <si>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</si>
  <si>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</si>
  <si>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</si>
  <si>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</si>
  <si>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</si>
  <si>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</si>
  <si>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</si>
  <si>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</si>
  <si>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</si>
  <si>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</si>
  <si>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</si>
  <si>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</si>
  <si>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</si>
  <si>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</si>
  <si>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</si>
  <si>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</si>
  <si>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</si>
  <si>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</si>
  <si>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</si>
  <si>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</si>
  <si>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</si>
  <si>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</si>
  <si>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</si>
  <si>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</si>
  <si>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</si>
  <si>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</si>
  <si>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</si>
  <si>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</si>
  <si>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</si>
  <si>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</si>
  <si>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</si>
  <si>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</si>
  <si>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</si>
  <si>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</si>
  <si>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</si>
  <si>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</si>
  <si>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</si>
  <si>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</si>
  <si>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</si>
  <si>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</si>
  <si>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</si>
  <si>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</si>
  <si>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</si>
  <si>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</si>
  <si>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</si>
  <si>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</si>
  <si>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</si>
  <si>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</si>
  <si>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</si>
  <si>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</si>
  <si>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</si>
  <si>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</si>
  <si>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</si>
  <si>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</si>
  <si>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</si>
  <si>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</si>
  <si>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</si>
  <si>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</si>
  <si>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</si>
  <si>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</si>
  <si>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</si>
  <si>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</si>
  <si>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</si>
  <si>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</si>
  <si>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</si>
  <si>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</si>
  <si>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</si>
  <si>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</si>
  <si>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</si>
  <si>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</si>
  <si>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</si>
  <si>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</si>
  <si>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</si>
  <si>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</si>
  <si>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</si>
  <si>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</si>
  <si>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</si>
  <si>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</si>
  <si>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</si>
  <si>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</si>
  <si>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</si>
  <si>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</si>
  <si>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</si>
  <si>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</si>
  <si>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</si>
  <si>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</si>
  <si>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</si>
  <si>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</si>
  <si>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</si>
  <si>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</si>
  <si>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</si>
  <si>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</si>
  <si>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</si>
  <si>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</si>
  <si>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</si>
  <si>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</si>
  <si>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</si>
  <si>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</si>
  <si>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</si>
  <si>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</si>
  <si>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</si>
  <si>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</si>
  <si>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</si>
  <si>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</si>
  <si>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</si>
  <si>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</si>
  <si>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</si>
  <si>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</si>
  <si>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</si>
  <si>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</si>
  <si>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</si>
  <si>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</si>
  <si>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</si>
  <si>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</si>
  <si>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</si>
  <si>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</si>
  <si>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</si>
  <si>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</si>
  <si>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</si>
  <si>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</si>
  <si>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</si>
  <si>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</si>
  <si>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</si>
  <si>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</si>
  <si>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</si>
  <si>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</si>
  <si>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</si>
  <si>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</si>
  <si>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</si>
  <si>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</si>
  <si>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</si>
  <si>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</si>
  <si>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</si>
  <si>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</si>
  <si>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</si>
  <si>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</si>
  <si>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</si>
  <si>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</si>
  <si>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</si>
  <si>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</si>
  <si>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</si>
  <si>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</si>
  <si>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</si>
  <si>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</si>
  <si>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</si>
  <si>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</si>
  <si>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</si>
  <si>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</si>
  <si>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</si>
  <si>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</si>
  <si>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</si>
  <si>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</si>
  <si>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</si>
  <si>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</si>
  <si>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</si>
  <si>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</si>
  <si>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</si>
  <si>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</si>
  <si>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</si>
  <si>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</si>
  <si>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</si>
  <si>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</si>
  <si>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</si>
  <si>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</si>
  <si>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</si>
  <si>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</si>
  <si>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</si>
  <si>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</si>
  <si>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</si>
  <si>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</si>
  <si>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</si>
  <si>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</si>
  <si>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</si>
  <si>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</si>
  <si>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</si>
  <si>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</si>
  <si>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</si>
  <si>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</si>
  <si>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</si>
  <si>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</si>
  <si>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</si>
  <si>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</si>
  <si>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</si>
  <si>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</si>
  <si>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</si>
  <si>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</si>
  <si>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</si>
  <si>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</si>
  <si>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</si>
  <si>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</si>
  <si>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</si>
  <si>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</si>
  <si>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</si>
  <si>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</si>
  <si>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</si>
  <si>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</si>
  <si>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</si>
  <si>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</si>
  <si>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</si>
  <si>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</si>
  <si>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</si>
  <si>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</si>
  <si>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</si>
  <si>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</si>
  <si>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</si>
  <si>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</si>
  <si>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</si>
  <si>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</si>
  <si>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</si>
  <si>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</si>
  <si>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</si>
  <si>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</si>
  <si>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</si>
  <si>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</si>
  <si>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</si>
  <si>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</si>
  <si>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</si>
  <si>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</si>
  <si>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</si>
  <si>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</si>
  <si>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</si>
  <si>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</si>
  <si>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</si>
  <si>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</si>
  <si>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</si>
  <si>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</si>
  <si>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</si>
  <si>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</si>
  <si>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</si>
  <si>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</si>
  <si>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</si>
  <si>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</si>
  <si>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</si>
  <si>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</si>
  <si>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</si>
  <si>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</si>
  <si>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</si>
  <si>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</si>
  <si>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</si>
  <si>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</si>
  <si>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</si>
  <si>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</si>
  <si>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</si>
  <si>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</si>
  <si>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</si>
  <si>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0.1.6</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</si>
  <si>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</si>
  <si>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</si>
  <si>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</si>
  <si>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</si>
  <si>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</si>
  <si>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</si>
  <si>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</si>
  <si>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</si>
  <si>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</si>
  <si>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</si>
  <si>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</si>
  <si>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</si>
  <si>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</si>
  <si>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</si>
  <si>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</si>
  <si>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</si>
  <si>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</si>
  <si>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</si>
  <si>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20326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</si>
</sst>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E28">
  <tableColumns count="5">
    <tableColumn id="1" xr3:uid="{00000000-0010-0000-0000-000001000000}" name="Account"/>
    <tableColumn id="2" xr3:uid="{00000000-0010-0000-0000-000002000000}" name="Amount"/>
    <tableColumn id="3" xr3:uid="{00000000-0010-0000-0000-000003000000}" name="Bucket">
      <calculatedColumnFormula>IFERROR(INDEX(tblMapping[Bucket],MATCH(TRIM(LOWER(tblPnl[[#This Row],[Account]])),tblMapping[Key],0)),"")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8"/>
  <sheetViews>
    <sheetView workbookViewId="0"/>
  </sheetViews>
  <sheetFormatPr defaultRowHeight="15" x14ac:dyDescent="0.25"/>
  <cols>
    <col min="1" max="1" width="34" customWidth="1"/>
    <col min="2" max="2" width="16" customWidth="1"/>
    <col min="3" max="3" width="24" customWidth="1"/>
  </cols>
  <sheetData>
    <row r="1" spans="1:5" x14ac:dyDescent="0.25">
      <c r="A1" s="5" t="s">
        <v>9</v>
      </c>
      <c r="B1" s="5" t="s">
        <v>10</v>
      </c>
      <c r="C1" s="5" t="s">
        <v>11</v>
      </c>
      <c r="D1" s="5" t="s">
        <v>12</v>
      </c>
      <c r="E1" s="5" t="s">
        <v>13</v>
      </c>
    </row>
    <row r="2" spans="1:5" x14ac:dyDescent="0.25">
      <c r="A2" s="6" t="s">
        <v>14</v>
      </c>
      <c r="B2" s="7">
        <v>520000</v>
      </c>
      <c r="C2" s="8" t="str">
        <f>IFERROR(INDEX(tblMapping[Bucket],MATCH(TRIM(LOWER(tblPnl[[#This Row],[Account]])),tblMapping[Key],0)),"")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3" spans="1:5" x14ac:dyDescent="0.25">
      <c r="A3" s="6" t="s">
        <v>15</v>
      </c>
      <c r="B3" s="7">
        <v>330000</v>
      </c>
      <c r="C3" s="8" t="str">
        <f>IFERROR(INDEX(tblMapping[Bucket],MATCH(TRIM(LOWER(tblPnl[[#This Row],[Account]])),tblMapping[Key],0)),"")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4" spans="1:5" x14ac:dyDescent="0.25">
      <c r="A4" s="6" t="s">
        <v>16</v>
      </c>
      <c r="B4" s="7">
        <v>1200</v>
      </c>
      <c r="C4" s="8" t="str">
        <f>IFERROR(INDEX(tblMapping[Bucket],MATCH(TRIM(LOWER(tblPnl[[#This Row],[Account]])),tblMapping[Key],0)),"")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5" spans="1:5" x14ac:dyDescent="0.25">
      <c r="A5" s="6" t="s">
        <v>17</v>
      </c>
      <c r="B5" s="7">
        <v>851200</v>
      </c>
      <c r="C5" s="8" t="str">
        <f>IFERROR(INDEX(tblMapping[Bucket],MATCH(TRIM(LOWER(tblPnl[[#This Row],[Account]])),tblMapping[Key],0)),"")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6" spans="1:5" x14ac:dyDescent="0.25">
      <c r="A6" s="6" t="s">
        <v>18</v>
      </c>
      <c r="B6" s="7">
        <v>240000</v>
      </c>
      <c r="C6" s="8" t="str">
        <f>IFERROR(INDEX(tblMapping[Bucket],MATCH(TRIM(LOWER(tblPnl[[#This Row],[Account]])),tblMapping[Key],0)),"")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7" spans="1:5" x14ac:dyDescent="0.25">
      <c r="A7" s="6" t="s">
        <v>19</v>
      </c>
      <c r="B7" s="7">
        <v>24000</v>
      </c>
      <c r="C7" s="8" t="str">
        <f>IFERROR(INDEX(tblMapping[Bucket],MATCH(TRIM(LOWER(tblPnl[[#This Row],[Account]])),tblMapping[Key],0)),"")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8" spans="1:5" x14ac:dyDescent="0.25">
      <c r="A8" s="6" t="s">
        <v>20</v>
      </c>
      <c r="B8" s="7">
        <v>6000</v>
      </c>
      <c r="C8" s="8" t="str">
        <f>IFERROR(INDEX(tblMapping[Bucket],MATCH(TRIM(LOWER(tblPnl[[#This Row],[Account]])),tblMapping[Key],0)),"")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9" spans="1:5" x14ac:dyDescent="0.25">
      <c r="A9" s="6" t="s">
        <v>21</v>
      </c>
      <c r="B9" s="7">
        <v>95000</v>
      </c>
      <c r="C9" s="8" t="str">
        <f>IFERROR(INDEX(tblMapping[Bucket],MATCH(TRIM(LOWER(tblPnl[[#This Row],[Account]])),tblMapping[Key],0)),"")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0" spans="1:5" x14ac:dyDescent="0.25">
      <c r="A10" s="6" t="s">
        <v>22</v>
      </c>
      <c r="B10" s="7">
        <v>365000</v>
      </c>
      <c r="C10" s="8" t="str">
        <f>IFERROR(INDEX(tblMapping[Bucket],MATCH(TRIM(LOWER(tblPnl[[#This Row],[Account]])),tblMapping[Key],0)),"")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1" spans="1:5" x14ac:dyDescent="0.25">
      <c r="A11" s="6" t="s">
        <v>23</v>
      </c>
      <c r="B11" s="7">
        <v>486200</v>
      </c>
      <c r="C11" s="8" t="str">
        <f>IFERROR(INDEX(tblMapping[Bucket],MATCH(TRIM(LOWER(tblPnl[[#This Row],[Account]])),tblMapping[Key],0)),"")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2" spans="1:5" x14ac:dyDescent="0.25">
      <c r="A12" s="6" t="s">
        <v>24</v>
      </c>
      <c r="B12" s="7">
        <v>4800</v>
      </c>
      <c r="C12" s="8" t="str">
        <f>IFERROR(INDEX(tblMapping[Bucket],MATCH(TRIM(LOWER(tblPnl[[#This Row],[Account]])),tblMapping[Key],0)),"")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3" spans="1:5" x14ac:dyDescent="0.25">
      <c r="A13" s="6" t="s">
        <v>25</v>
      </c>
      <c r="B13" s="7">
        <v>3600</v>
      </c>
      <c r="C13" s="8" t="str">
        <f>IFERROR(INDEX(tblMapping[Bucket],MATCH(TRIM(LOWER(tblPnl[[#This Row],[Account]])),tblMapping[Key],0)),"")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4" spans="1:5" x14ac:dyDescent="0.25">
      <c r="A14" s="6" t="s">
        <v>26</v>
      </c>
      <c r="B14" s="7">
        <v>1900</v>
      </c>
      <c r="C14" s="8" t="str">
        <f>IFERROR(INDEX(tblMapping[Bucket],MATCH(TRIM(LOWER(tblPnl[[#This Row],[Account]])),tblMapping[Key],0)),"")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5" spans="1:5" x14ac:dyDescent="0.25">
      <c r="A15" s="6" t="s">
        <v>27</v>
      </c>
      <c r="B15" s="7">
        <v>7800</v>
      </c>
      <c r="C15" s="8" t="str">
        <f>IFERROR(INDEX(tblMapping[Bucket],MATCH(TRIM(LOWER(tblPnl[[#This Row],[Account]])),tblMapping[Key],0)),"")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6" spans="1:5" x14ac:dyDescent="0.25">
      <c r="A16" s="6" t="s">
        <v>28</v>
      </c>
      <c r="B16" s="7">
        <v>21000</v>
      </c>
      <c r="C16" s="8" t="str">
        <f>IFERROR(INDEX(tblMapping[Bucket],MATCH(TRIM(LOWER(tblPnl[[#This Row],[Account]])),tblMapping[Key],0)),"")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7" spans="1:5" x14ac:dyDescent="0.25">
      <c r="A17" s="6" t="s">
        <v>29</v>
      </c>
      <c r="B17" s="7">
        <v>18000</v>
      </c>
      <c r="C17" s="8" t="str">
        <f>IFERROR(INDEX(tblMapping[Bucket],MATCH(TRIM(LOWER(tblPnl[[#This Row],[Account]])),tblMapping[Key],0)),"")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8" spans="1:5" x14ac:dyDescent="0.25">
      <c r="A18" s="6" t="s">
        <v>30</v>
      </c>
      <c r="B18" s="7">
        <v>7400</v>
      </c>
      <c r="C18" s="8" t="str">
        <f>IFERROR(INDEX(tblMapping[Bucket],MATCH(TRIM(LOWER(tblPnl[[#This Row],[Account]])),tblMapping[Key],0)),"")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19" spans="1:5" x14ac:dyDescent="0.25">
      <c r="A19" s="6" t="s">
        <v>31</v>
      </c>
      <c r="B19" s="7">
        <v>9500</v>
      </c>
      <c r="C19" s="8" t="str">
        <f>IFERROR(INDEX(tblMapping[Bucket],MATCH(TRIM(LOWER(tblPnl[[#This Row],[Account]])),tblMapping[Key],0)),"")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0" spans="1:5" x14ac:dyDescent="0.25">
      <c r="A20" s="6" t="s">
        <v>32</v>
      </c>
      <c r="B20" s="7">
        <v>62000</v>
      </c>
      <c r="C20" s="8" t="str">
        <f>IFERROR(INDEX(tblMapping[Bucket],MATCH(TRIM(LOWER(tblPnl[[#This Row],[Account]])),tblMapping[Key],0)),"")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1" spans="1:5" x14ac:dyDescent="0.25">
      <c r="A21" s="6" t="s">
        <v>33</v>
      </c>
      <c r="B21" s="7">
        <v>6200</v>
      </c>
      <c r="C21" s="8" t="str">
        <f>IFERROR(INDEX(tblMapping[Bucket],MATCH(TRIM(LOWER(tblPnl[[#This Row],[Account]])),tblMapping[Key],0)),"")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2" spans="1:5" x14ac:dyDescent="0.25">
      <c r="A22" s="6" t="s">
        <v>34</v>
      </c>
      <c r="B22" s="7">
        <v>175000</v>
      </c>
      <c r="C22" s="8" t="str">
        <f>IFERROR(INDEX(tblMapping[Bucket],MATCH(TRIM(LOWER(tblPnl[[#This Row],[Account]])),tblMapping[Key],0)),"")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3" spans="1:5" x14ac:dyDescent="0.25">
      <c r="A23" s="6" t="s">
        <v>35</v>
      </c>
      <c r="B23" s="7">
        <v>24750</v>
      </c>
      <c r="C23" s="8" t="str">
        <f>IFERROR(INDEX(tblMapping[Bucket],MATCH(TRIM(LOWER(tblPnl[[#This Row],[Account]])),tblMapping[Key],0)),"")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4" spans="1:5" x14ac:dyDescent="0.25">
      <c r="A24" s="6" t="s">
        <v>36</v>
      </c>
      <c r="B24" s="7">
        <v>45000</v>
      </c>
      <c r="C24" s="8" t="str">
        <f>IFERROR(INDEX(tblMapping[Bucket],MATCH(TRIM(LOWER(tblPnl[[#This Row],[Account]])),tblMapping[Key],0)),"")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5" spans="1:5" x14ac:dyDescent="0.25">
      <c r="A25" s="6" t="s">
        <v>37</v>
      </c>
      <c r="B25" s="7">
        <v>386950</v>
      </c>
      <c r="C25" s="8" t="str">
        <f>IFERROR(INDEX(tblMapping[Bucket],MATCH(TRIM(LOWER(tblPnl[[#This Row],[Account]])),tblMapping[Key],0)),"")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6" spans="1:5" x14ac:dyDescent="0.25">
      <c r="A26" s="6" t="s">
        <v>38</v>
      </c>
      <c r="B26" s="7">
        <v>99250</v>
      </c>
      <c r="C26" s="8" t="str">
        <f>IFERROR(INDEX(tblMapping[Bucket],MATCH(TRIM(LOWER(tblPnl[[#This Row],[Account]])),tblMapping[Key],0)),"")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7" spans="1:5" x14ac:dyDescent="0.25">
      <c r="A27" s="6" t="s">
        <v>39</v>
      </c>
      <c r="B27" s="7">
        <v>12000</v>
      </c>
      <c r="C27" s="8" t="str">
        <f>IFERROR(INDEX(tblMapping[Bucket],MATCH(TRIM(LOWER(tblPnl[[#This Row],[Account]])),tblMapping[Key],0)),"")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row r="28" spans="1:5" x14ac:dyDescent="0.25">
      <c r="A28" s="6" t="s">
        <v>40</v>
      </c>
      <c r="B28" s="7">
        <v>87250</v>
      </c>
      <c r="C28" s="8" t="str">
        <f>IFERROR(INDEX(tblMapping[Bucket],MATCH(TRIM(LOWER(tblPnl[[#This Row],[Account]])),tblMapping[Key],0)),"")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41</v>
      </c>
      <c r="D1" s="5" t="s">
        <v>42</v>
      </c>
      <c r="E1" s="5" t="s">
        <v>43</v>
      </c>
    </row>
    <row r="2" spans="1:5" x14ac:dyDescent="0.25">
      <c r="A2" s="6" t="s">
        <v>14</v>
      </c>
      <c r="B2" s="9" t="s">
        <v>44</v>
      </c>
      <c r="C2" s="9" t="s">
        <v>45</v>
      </c>
      <c r="D2" s="6" t="s">
        <v>46</v>
      </c>
      <c r="E2" s="8" t="str">
        <f>TRIM(LOWER(tblMapping[[#This Row],[Account]]))</f>
        <v>sales - bread and rolls</v>
      </c>
    </row>
    <row r="3" spans="1:5" x14ac:dyDescent="0.25">
      <c r="A3" s="6" t="s">
        <v>15</v>
      </c>
      <c r="B3" s="9" t="s">
        <v>44</v>
      </c>
      <c r="C3" s="9" t="s">
        <v>45</v>
      </c>
      <c r="D3" s="6" t="s">
        <v>46</v>
      </c>
      <c r="E3" s="8" t="str">
        <f>TRIM(LOWER(tblMapping[[#This Row],[Account]]))</f>
        <v>sales - cakes and pastries</v>
      </c>
    </row>
    <row r="4" spans="1:5" x14ac:dyDescent="0.25">
      <c r="A4" s="6" t="s">
        <v>16</v>
      </c>
      <c r="B4" s="9" t="s">
        <v>47</v>
      </c>
      <c r="C4" s="9" t="s">
        <v>45</v>
      </c>
      <c r="D4" s="6" t="s">
        <v>48</v>
      </c>
      <c r="E4" s="8" t="str">
        <f>TRIM(LOWER(tblMapping[[#This Row],[Account]]))</f>
        <v>interest received</v>
      </c>
    </row>
    <row r="5" spans="1:5" x14ac:dyDescent="0.25">
      <c r="A5" s="6" t="s">
        <v>17</v>
      </c>
      <c r="B5" s="9" t="s">
        <v>49</v>
      </c>
      <c r="C5" s="9" t="s">
        <v>45</v>
      </c>
      <c r="D5" s="6" t="s">
        <v>50</v>
      </c>
      <c r="E5" s="8" t="str">
        <f>TRIM(LOWER(tblMapping[[#This Row],[Account]]))</f>
        <v>total income</v>
      </c>
    </row>
    <row r="6" spans="1:5" x14ac:dyDescent="0.25">
      <c r="A6" s="6" t="s">
        <v>18</v>
      </c>
      <c r="B6" s="9" t="s">
        <v>51</v>
      </c>
      <c r="C6" s="9" t="s">
        <v>45</v>
      </c>
      <c r="D6" s="6" t="s">
        <v>52</v>
      </c>
      <c r="E6" s="8" t="str">
        <f>TRIM(LOWER(tblMapping[[#This Row],[Account]]))</f>
        <v>flour and ingredients</v>
      </c>
    </row>
    <row r="7" spans="1:5" x14ac:dyDescent="0.25">
      <c r="A7" s="6" t="s">
        <v>19</v>
      </c>
      <c r="B7" s="9" t="s">
        <v>51</v>
      </c>
      <c r="C7" s="9" t="s">
        <v>45</v>
      </c>
      <c r="D7" s="6" t="s">
        <v>52</v>
      </c>
      <c r="E7" s="8" t="str">
        <f>TRIM(LOWER(tblMapping[[#This Row],[Account]]))</f>
        <v>packaging</v>
      </c>
    </row>
    <row r="8" spans="1:5" x14ac:dyDescent="0.25">
      <c r="A8" s="6" t="s">
        <v>20</v>
      </c>
      <c r="B8" s="9" t="s">
        <v>51</v>
      </c>
      <c r="C8" s="9" t="s">
        <v>45</v>
      </c>
      <c r="D8" s="6" t="s">
        <v>52</v>
      </c>
      <c r="E8" s="8" t="str">
        <f>TRIM(LOWER(tblMapping[[#This Row],[Account]]))</f>
        <v>freight inwards</v>
      </c>
    </row>
    <row r="9" spans="1:5" x14ac:dyDescent="0.25">
      <c r="A9" s="6" t="s">
        <v>21</v>
      </c>
      <c r="B9" s="9" t="s">
        <v>53</v>
      </c>
      <c r="C9" s="9" t="s">
        <v>45</v>
      </c>
      <c r="D9" s="6" t="s">
        <v>54</v>
      </c>
      <c r="E9" s="8" t="str">
        <f>TRIM(LOWER(tblMapping[[#This Row],[Account]]))</f>
        <v>bakery wages</v>
      </c>
    </row>
    <row r="10" spans="1:5" x14ac:dyDescent="0.25">
      <c r="A10" s="6" t="s">
        <v>22</v>
      </c>
      <c r="B10" s="9" t="s">
        <v>49</v>
      </c>
      <c r="C10" s="9" t="s">
        <v>45</v>
      </c>
      <c r="D10" s="6" t="s">
        <v>50</v>
      </c>
      <c r="E10" s="8" t="str">
        <f>TRIM(LOWER(tblMapping[[#This Row],[Account]]))</f>
        <v>total cost of sales</v>
      </c>
    </row>
    <row r="11" spans="1:5" x14ac:dyDescent="0.25">
      <c r="A11" s="6" t="s">
        <v>23</v>
      </c>
      <c r="B11" s="9" t="s">
        <v>49</v>
      </c>
      <c r="C11" s="9" t="s">
        <v>45</v>
      </c>
      <c r="D11" s="6" t="s">
        <v>50</v>
      </c>
      <c r="E11" s="8" t="str">
        <f>TRIM(LOWER(tblMapping[[#This Row],[Account]]))</f>
        <v>gross profit</v>
      </c>
    </row>
    <row r="12" spans="1:5" x14ac:dyDescent="0.25">
      <c r="A12" s="6" t="s">
        <v>24</v>
      </c>
      <c r="B12" s="9" t="s">
        <v>55</v>
      </c>
      <c r="C12" s="9" t="s">
        <v>45</v>
      </c>
      <c r="D12" s="6" t="s">
        <v>56</v>
      </c>
      <c r="E12" s="8" t="str">
        <f>TRIM(LOWER(tblMapping[[#This Row],[Account]]))</f>
        <v>accounting fees</v>
      </c>
    </row>
    <row r="13" spans="1:5" x14ac:dyDescent="0.25">
      <c r="A13" s="6" t="s">
        <v>25</v>
      </c>
      <c r="B13" s="9" t="s">
        <v>55</v>
      </c>
      <c r="C13" s="9" t="s">
        <v>45</v>
      </c>
      <c r="D13" s="6" t="s">
        <v>56</v>
      </c>
      <c r="E13" s="8" t="str">
        <f>TRIM(LOWER(tblMapping[[#This Row],[Account]]))</f>
        <v>advertising</v>
      </c>
    </row>
    <row r="14" spans="1:5" x14ac:dyDescent="0.25">
      <c r="A14" s="6" t="s">
        <v>26</v>
      </c>
      <c r="B14" s="9" t="s">
        <v>55</v>
      </c>
      <c r="C14" s="9" t="s">
        <v>45</v>
      </c>
      <c r="D14" s="6" t="s">
        <v>56</v>
      </c>
      <c r="E14" s="8" t="str">
        <f>TRIM(LOWER(tblMapping[[#This Row],[Account]]))</f>
        <v>bank fees</v>
      </c>
    </row>
    <row r="15" spans="1:5" x14ac:dyDescent="0.25">
      <c r="A15" s="6" t="s">
        <v>27</v>
      </c>
      <c r="B15" s="9" t="s">
        <v>57</v>
      </c>
      <c r="C15" s="9" t="s">
        <v>45</v>
      </c>
      <c r="D15" s="6" t="s">
        <v>58</v>
      </c>
      <c r="E15" s="8" t="str">
        <f>TRIM(LOWER(tblMapping[[#This Row],[Account]]))</f>
        <v>cleaning contractor</v>
      </c>
    </row>
    <row r="16" spans="1:5" x14ac:dyDescent="0.25">
      <c r="A16" s="6" t="s">
        <v>28</v>
      </c>
      <c r="B16" s="9" t="s">
        <v>55</v>
      </c>
      <c r="C16" s="9" t="s">
        <v>45</v>
      </c>
      <c r="D16" s="6" t="s">
        <v>56</v>
      </c>
      <c r="E16" s="8" t="str">
        <f>TRIM(LOWER(tblMapping[[#This Row],[Account]]))</f>
        <v>depreciation</v>
      </c>
    </row>
    <row r="17" spans="1:5" x14ac:dyDescent="0.25">
      <c r="A17" s="6" t="s">
        <v>29</v>
      </c>
      <c r="B17" s="9" t="s">
        <v>55</v>
      </c>
      <c r="C17" s="9" t="s">
        <v>45</v>
      </c>
      <c r="D17" s="6" t="s">
        <v>56</v>
      </c>
      <c r="E17" s="8" t="str">
        <f>TRIM(LOWER(tblMapping[[#This Row],[Account]]))</f>
        <v>electricity</v>
      </c>
    </row>
    <row r="18" spans="1:5" x14ac:dyDescent="0.25">
      <c r="A18" s="6" t="s">
        <v>30</v>
      </c>
      <c r="B18" s="9" t="s">
        <v>55</v>
      </c>
      <c r="C18" s="9" t="s">
        <v>45</v>
      </c>
      <c r="D18" s="6" t="s">
        <v>56</v>
      </c>
      <c r="E18" s="8" t="str">
        <f>TRIM(LOWER(tblMapping[[#This Row],[Account]]))</f>
        <v>insurance</v>
      </c>
    </row>
    <row r="19" spans="1:5" x14ac:dyDescent="0.25">
      <c r="A19" s="6" t="s">
        <v>31</v>
      </c>
      <c r="B19" s="9" t="s">
        <v>59</v>
      </c>
      <c r="C19" s="9" t="s">
        <v>45</v>
      </c>
      <c r="D19" s="6" t="s">
        <v>60</v>
      </c>
      <c r="E19" s="8" t="str">
        <f>TRIM(LOWER(tblMapping[[#This Row],[Account]]))</f>
        <v>motor vehicle expenses</v>
      </c>
    </row>
    <row r="20" spans="1:5" x14ac:dyDescent="0.25">
      <c r="A20" s="6" t="s">
        <v>32</v>
      </c>
      <c r="B20" s="9" t="s">
        <v>61</v>
      </c>
      <c r="C20" s="9" t="s">
        <v>45</v>
      </c>
      <c r="D20" s="6" t="s">
        <v>62</v>
      </c>
      <c r="E20" s="8" t="str">
        <f>TRIM(LOWER(tblMapping[[#This Row],[Account]]))</f>
        <v>rent</v>
      </c>
    </row>
    <row r="21" spans="1:5" x14ac:dyDescent="0.25">
      <c r="A21" s="6" t="s">
        <v>33</v>
      </c>
      <c r="B21" s="9" t="s">
        <v>55</v>
      </c>
      <c r="C21" s="9" t="s">
        <v>45</v>
      </c>
      <c r="D21" s="6" t="s">
        <v>56</v>
      </c>
      <c r="E21" s="8" t="str">
        <f>TRIM(LOWER(tblMapping[[#This Row],[Account]]))</f>
        <v>repairs and maintenance</v>
      </c>
    </row>
    <row r="22" spans="1:5" x14ac:dyDescent="0.25">
      <c r="A22" s="6" t="s">
        <v>34</v>
      </c>
      <c r="B22" s="9" t="s">
        <v>63</v>
      </c>
      <c r="C22" s="9" t="s">
        <v>45</v>
      </c>
      <c r="D22" s="6" t="s">
        <v>64</v>
      </c>
      <c r="E22" s="8" t="str">
        <f>TRIM(LOWER(tblMapping[[#This Row],[Account]]))</f>
        <v>shop wages</v>
      </c>
    </row>
    <row r="23" spans="1:5" x14ac:dyDescent="0.25">
      <c r="A23" s="6" t="s">
        <v>35</v>
      </c>
      <c r="B23" s="9" t="s">
        <v>55</v>
      </c>
      <c r="C23" s="9" t="s">
        <v>45</v>
      </c>
      <c r="D23" s="6" t="s">
        <v>65</v>
      </c>
      <c r="E23" s="8" t="str">
        <f>TRIM(LOWER(tblMapping[[#This Row],[Account]]))</f>
        <v>superannuation</v>
      </c>
    </row>
    <row r="24" spans="1:5" x14ac:dyDescent="0.25">
      <c r="A24" s="6" t="s">
        <v>36</v>
      </c>
      <c r="B24" s="9" t="s">
        <v>66</v>
      </c>
      <c r="C24" s="9" t="s">
        <v>45</v>
      </c>
      <c r="D24" s="6" t="s">
        <v>67</v>
      </c>
      <c r="E24" s="8" t="str">
        <f>TRIM(LOWER(tblMapping[[#This Row],[Account]]))</f>
        <v>wages - director spouse</v>
      </c>
    </row>
    <row r="25" spans="1:5" x14ac:dyDescent="0.25">
      <c r="A25" s="6" t="s">
        <v>37</v>
      </c>
      <c r="B25" s="9" t="s">
        <v>49</v>
      </c>
      <c r="C25" s="9" t="s">
        <v>45</v>
      </c>
      <c r="D25" s="6" t="s">
        <v>50</v>
      </c>
      <c r="E25" s="8" t="str">
        <f>TRIM(LOWER(tblMapping[[#This Row],[Account]]))</f>
        <v>total operating expenses</v>
      </c>
    </row>
    <row r="26" spans="1:5" x14ac:dyDescent="0.25">
      <c r="A26" s="6" t="s">
        <v>38</v>
      </c>
      <c r="B26" s="9" t="s">
        <v>49</v>
      </c>
      <c r="C26" s="9" t="s">
        <v>45</v>
      </c>
      <c r="D26" s="6" t="s">
        <v>50</v>
      </c>
      <c r="E26" s="8" t="str">
        <f>TRIM(LOWER(tblMapping[[#This Row],[Account]]))</f>
        <v>net profit before tax</v>
      </c>
    </row>
    <row r="27" spans="1:5" x14ac:dyDescent="0.25">
      <c r="A27" s="6" t="s">
        <v>39</v>
      </c>
      <c r="B27" s="9" t="s">
        <v>49</v>
      </c>
      <c r="C27" s="9" t="s">
        <v>45</v>
      </c>
      <c r="D27" s="6" t="s">
        <v>68</v>
      </c>
      <c r="E27" s="8" t="str">
        <f>TRIM(LOWER(tblMapping[[#This Row],[Account]]))</f>
        <v>income tax expense</v>
      </c>
    </row>
    <row r="28" spans="1:5" x14ac:dyDescent="0.25">
      <c r="A28" s="6" t="s">
        <v>40</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43</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COUNTIFS(tblPnl[Account],"&lt;&gt;",tblPnl[Bucket],"")</f>
        <v>0</v>
      </c>
      <c r="D2" s="8" t="str">
        <f t="array" ref="D2">IF(C2=0,"",INDEX(tblPnl[Account],SUMPRODUCT(MAX((tblPnl[Account]&lt;&gt;"")*(tblPnl[Bucket]="")*(ROW(tblPnl[Account])-1)))))</f>
        <v/>
      </c>
    </row>
    <row r="3" spans="1:4" x14ac:dyDescent="0.25">
      <c r="A3" t="s">
        <v>380</v>
      </c>
      <c r="B3" s="8" t="str">
        <f>IF(C3=0,"PASS","BLOCKED")</f>
        <v>PASS</v>
      </c>
      <c r="C3" s="8">
        <f>COUNTIF(tblMapping[Source],"suggested")</f>
        <v>0</v>
      </c>
      <c r="D3" s="8" t="str">
        <f t="array" ref="D3">IF(C3=0,"",INDEX(tblMapping[Account],SUMPRODUCT(MAX((tblMapping[Source]="suggested")*(ROW(tblMapping[Account])-1)))))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SUMPRODUCT((COUNTIF(tblPnl[Account],tblPnl[Account])&gt;1)*(tblPnl[Account]&lt;&gt;""))</f>
        <v>0</v>
      </c>
      <c r="D5" s="8" t="str">
        <f t="array" ref="D5">IF(C5=0,"",INDEX(tblPnl[Account],SUMPRODUCT(MAX((COUNTIF(tblPnl[Account],tblPnl[Account])&gt;1)*(tblPnl[Account]&lt;&gt;"")*(ROW(tblPnl[Account])-1)))))</f>
        <v/>
      </c>
    </row>
    <row r="6" spans="1:4" x14ac:dyDescent="0.25">
      <c r="A6" t="s">
        <v>383</v>
      </c>
      <c r="B6" s="8" t="str">
        <f>IF(C6=0,"PASS","BLOCKED")</f>
        <v>PASS</v>
      </c>
      <c r="C6" s="8">
        <f>SUMPRODUCT((COUNTIF(tblMapping[Key],tblMapping[Key])&gt;1)*(tblMapping[Key]&lt;&gt;""))</f>
        <v>0</v>
      </c>
      <c r="D6" s="8" t="str">
        <f t="array" ref="D6">IF(C6=0,"",INDEX(tblMapping[Account],SUMPRODUCT(MAX((COUNTIF(tblMapping[Key],tblMapping[Key])&gt;1)*(tblMapping[Key]&lt;&gt;"")*(ROW(tblMapping[Account])-1)))))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2026-09-05T00:59:29Z</dcterms:created>
  <dcterms:modified xsi:type="dcterms:W3CDTF">2026-09-05T00:59:30Z</dcterms:modified>
</cp:coreProperties>
</file>