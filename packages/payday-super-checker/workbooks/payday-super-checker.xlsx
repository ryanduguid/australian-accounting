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mc:AlternateContent>
  <xr:revisionPtr revIDLastSave="0" documentId="13_ncr:1_{760613AB-705D-4304-957A-3DC8DCE4E648}" xr6:coauthVersionLast="47" xr6:coauthVersionMax="47" xr10:uidLastSave="{00000000-0000-0000-0000-000000000000}"/>
  <bookViews>
    <workbookView xWindow="-105" yWindow="-210" windowWidth="26010" windowHeight="2170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M11" i="2"/>
  <c r="BL11" i="2" a="1"/>
  <c r="BL11" i="2" s="1"/>
  <c r="BK11" i="2"/>
  <c r="U11" i="2"/>
  <c r="BH11" i="2" s="1"/>
  <c r="T11" i="2"/>
  <c r="R11" i="2"/>
  <c r="W11" i="2" s="1"/>
  <c r="Q11" i="2"/>
  <c r="V11" i="2" s="1"/>
  <c r="P11" i="2"/>
  <c r="O11" i="2"/>
  <c r="N11" i="2"/>
  <c r="M11" i="2"/>
  <c r="L11" i="2"/>
  <c r="BL10" i="2" a="1"/>
  <c r="BL10" i="2" s="1"/>
  <c r="U10" i="2"/>
  <c r="T10" i="2"/>
  <c r="R10" i="2"/>
  <c r="W10" i="2" s="1"/>
  <c r="Q10" i="2"/>
  <c r="P10" i="2"/>
  <c r="O10" i="2"/>
  <c r="N10" i="2"/>
  <c r="M10" i="2"/>
  <c r="L10" i="2"/>
  <c r="BL9" i="2" a="1"/>
  <c r="BL9" i="2" s="1"/>
  <c r="U9" i="2"/>
  <c r="T9" i="2"/>
  <c r="R9" i="2"/>
  <c r="W9" i="2" s="1"/>
  <c r="Q9" i="2"/>
  <c r="P9" i="2"/>
  <c r="BH9" i="2" s="1"/>
  <c r="O9" i="2"/>
  <c r="N9" i="2"/>
  <c r="M9" i="2"/>
  <c r="L9" i="2"/>
  <c r="BL8" i="2" a="1"/>
  <c r="BL8" i="2" s="1"/>
  <c r="U8" i="2"/>
  <c r="T8" i="2"/>
  <c r="R8" i="2"/>
  <c r="W8" i="2" s="1"/>
  <c r="Q8" i="2"/>
  <c r="P8" i="2"/>
  <c r="BH8" i="2" s="1"/>
  <c r="O8" i="2"/>
  <c r="N8" i="2"/>
  <c r="M8" i="2"/>
  <c r="L8" i="2"/>
  <c r="BL7" i="2" a="1"/>
  <c r="BL7" i="2" s="1"/>
  <c r="U7" i="2"/>
  <c r="T7" i="2"/>
  <c r="R7" i="2"/>
  <c r="Q7" i="2"/>
  <c r="P7" i="2"/>
  <c r="BH7" i="2" s="1"/>
  <c r="O7" i="2"/>
  <c r="N7" i="2"/>
  <c r="M7" i="2"/>
  <c r="L7" i="2"/>
  <c r="BL6" i="2" a="1"/>
  <c r="BL6" i="2" s="1"/>
  <c r="U6" i="2"/>
  <c r="T6" i="2"/>
  <c r="R6" i="2"/>
  <c r="Q6" i="2"/>
  <c r="P6" i="2"/>
  <c r="BH6" i="2" s="1"/>
  <c r="O6" i="2"/>
  <c r="N6" i="2"/>
  <c r="M6" i="2"/>
  <c r="L6" i="2"/>
  <c r="BK6" i="2" s="1"/>
  <c r="BL5" i="2" a="1"/>
  <c r="BL5" i="2" s="1"/>
  <c r="U5" i="2"/>
  <c r="T5" i="2"/>
  <c r="R5" i="2"/>
  <c r="W5" i="2" s="1"/>
  <c r="Q5" i="2"/>
  <c r="P5" i="2"/>
  <c r="O5" i="2"/>
  <c r="N5" i="2"/>
  <c r="M5" i="2"/>
  <c r="L5" i="2"/>
  <c r="BL4" i="2" a="1"/>
  <c r="BL4" i="2" s="1"/>
  <c r="U4" i="2"/>
  <c r="T4" i="2"/>
  <c r="R4" i="2"/>
  <c r="W4" i="2" s="1"/>
  <c r="Q4" i="2"/>
  <c r="P4" i="2"/>
  <c r="BH4" i="2" s="1"/>
  <c r="O4" i="2"/>
  <c r="N4" i="2"/>
  <c r="M4" i="2"/>
  <c r="L4" i="2"/>
  <c r="BL3" i="2" a="1"/>
  <c r="BL3" i="2" s="1"/>
  <c r="U3" i="2"/>
  <c r="T3" i="2"/>
  <c r="R3" i="2"/>
  <c r="Q3" i="2"/>
  <c r="P3" i="2"/>
  <c r="BH3" i="2" s="1"/>
  <c r="O3" i="2"/>
  <c r="N3" i="2"/>
  <c r="M3" i="2"/>
  <c r="L3" i="2"/>
  <c r="BL2" i="2" a="1"/>
  <c r="BL2" i="2" s="1"/>
  <c r="U2" i="2"/>
  <c r="T2" i="2"/>
  <c r="C3" i="7" s="1"/>
  <c r="R2" i="2"/>
  <c r="W2" i="2" s="1"/>
  <c r="Q2" i="2"/>
  <c r="P2" i="2"/>
  <c r="BH2" i="2" s="1"/>
  <c r="O2" i="2"/>
  <c r="N2" i="2"/>
  <c r="M2" i="2"/>
  <c r="L2" i="2"/>
  <c r="BK2" i="2" s="1"/>
  <c r="V8" i="2" l="1"/>
  <c r="V7" i="2"/>
  <c r="V6" i="2"/>
  <c r="X6" i="2" s="1"/>
  <c r="V5" i="2"/>
  <c r="V4" i="2"/>
  <c r="V10" i="2"/>
  <c r="V9" i="2"/>
  <c r="W6" i="2"/>
  <c r="V3" i="2"/>
  <c r="V2" i="2"/>
  <c r="Z10" i="2"/>
  <c r="BM10" i="2"/>
  <c r="BK10" i="2"/>
  <c r="S10" i="2"/>
  <c r="Z9" i="2"/>
  <c r="BM9" i="2"/>
  <c r="BK9" i="2"/>
  <c r="S9" i="2"/>
  <c r="Z8" i="2"/>
  <c r="BM8" i="2"/>
  <c r="BK8" i="2"/>
  <c r="S8" i="2"/>
  <c r="BM7" i="2"/>
  <c r="BK7" i="2"/>
  <c r="Z7" i="2"/>
  <c r="Z5" i="2"/>
  <c r="BM5" i="2"/>
  <c r="BK5" i="2"/>
  <c r="S5" i="2"/>
  <c r="BK4" i="2"/>
  <c r="S4" i="2"/>
  <c r="Z3" i="2"/>
  <c r="BM3" i="2"/>
  <c r="BK3" i="2"/>
  <c r="B3" i="7"/>
  <c r="D3" i="7" a="1"/>
  <c r="D3" i="7" s="1"/>
  <c r="AA11" i="2"/>
  <c r="AA6" i="2"/>
  <c r="AB6" i="2"/>
  <c r="AD6" i="2" s="1"/>
  <c r="AB9" i="2"/>
  <c r="AD9" i="2" s="1"/>
  <c r="AB11" i="2"/>
  <c r="AD11" i="2" s="1"/>
  <c r="C12" i="7"/>
  <c r="AA9" i="2"/>
  <c r="AB5" i="2"/>
  <c r="AD5" i="2" s="1"/>
  <c r="AA7" i="2"/>
  <c r="AB7" i="2"/>
  <c r="AD7" i="2" s="1"/>
  <c r="AA8" i="2"/>
  <c r="AB8" i="2"/>
  <c r="AD8" i="2" s="1"/>
  <c r="AA2" i="2"/>
  <c r="AB10" i="2"/>
  <c r="AD10" i="2" s="1"/>
  <c r="AA10" i="2"/>
  <c r="AB2" i="2"/>
  <c r="AD2" i="2" s="1"/>
  <c r="AA3" i="2"/>
  <c r="AB3" i="2"/>
  <c r="AD3" i="2" s="1"/>
  <c r="B12" i="7"/>
  <c r="AA4" i="2"/>
  <c r="AB4" i="2"/>
  <c r="AD4" i="2" s="1"/>
  <c r="AA5" i="2"/>
  <c r="Y11" i="2"/>
  <c r="X11" i="2"/>
  <c r="Z11" i="2"/>
  <c r="S11" i="2"/>
  <c r="BH10" i="2"/>
  <c r="X10" i="2"/>
  <c r="Y10" i="2"/>
  <c r="X9" i="2"/>
  <c r="Y9" i="2"/>
  <c r="AL8" i="2"/>
  <c r="Y8" i="2"/>
  <c r="X8" i="2"/>
  <c r="W7" i="2"/>
  <c r="S7" i="2"/>
  <c r="Y6" i="2"/>
  <c r="Z6" i="2"/>
  <c r="S6" i="2"/>
  <c r="BM6" i="2"/>
  <c r="BH5" i="2"/>
  <c r="C4" i="7" s="1"/>
  <c r="Y5" i="2"/>
  <c r="X5" i="2"/>
  <c r="X4" i="2"/>
  <c r="Y4" i="2"/>
  <c r="Z4" i="2"/>
  <c r="BM4" i="2"/>
  <c r="W3" i="2"/>
  <c r="S3" i="2"/>
  <c r="Y3" i="2"/>
  <c r="X3" i="2"/>
  <c r="Y2" i="2"/>
  <c r="X2" i="2"/>
  <c r="BM2" i="2"/>
  <c r="Z2" i="2"/>
  <c r="S2" i="2"/>
  <c r="C14" i="7"/>
  <c r="C10" i="7" l="1"/>
  <c r="Y7" i="2"/>
  <c r="X7" i="2"/>
  <c r="AE7" i="2" s="1"/>
  <c r="AC11" i="2"/>
  <c r="BI11" i="2"/>
  <c r="AC6" i="2"/>
  <c r="BI6" i="2"/>
  <c r="AC9" i="2"/>
  <c r="BI9" i="2"/>
  <c r="AC7" i="2"/>
  <c r="BI7" i="2"/>
  <c r="AC8" i="2"/>
  <c r="AQ8" i="2" s="1"/>
  <c r="BI8" i="2"/>
  <c r="AC2" i="2"/>
  <c r="BI2" i="2"/>
  <c r="AC10" i="2"/>
  <c r="BI10" i="2"/>
  <c r="AC3" i="2"/>
  <c r="BI3" i="2"/>
  <c r="AC4" i="2"/>
  <c r="BI4" i="2"/>
  <c r="AC5" i="2"/>
  <c r="BI5" i="2"/>
  <c r="AE11" i="2"/>
  <c r="AE10" i="2"/>
  <c r="AE9" i="2"/>
  <c r="AM8" i="2"/>
  <c r="BJ8" i="2" s="1"/>
  <c r="AN8" i="2"/>
  <c r="AO8" i="2"/>
  <c r="AP8" i="2"/>
  <c r="AE8" i="2"/>
  <c r="AH8" i="2"/>
  <c r="AI8" i="2"/>
  <c r="AE6" i="2"/>
  <c r="AE5" i="2"/>
  <c r="AE4" i="2"/>
  <c r="AE3" i="2"/>
  <c r="AE2" i="2"/>
  <c r="B14" i="7"/>
  <c r="D14" i="7" a="1"/>
  <c r="D14" i="7" s="1"/>
  <c r="C13" i="7"/>
  <c r="C2" i="7"/>
  <c r="AG8" i="2" a="1"/>
  <c r="AG8" i="2" s="1"/>
  <c r="AF8" i="2" a="1"/>
  <c r="AF8" i="2" s="1"/>
  <c r="B4" i="7"/>
  <c r="D4" i="7" a="1"/>
  <c r="D4" i="7" s="1"/>
  <c r="B10" i="7" l="1"/>
  <c r="D10" i="7" a="1"/>
  <c r="D10" i="7" s="1"/>
  <c r="AR8" i="2"/>
  <c r="AS8" i="2"/>
  <c r="AT8" i="2"/>
  <c r="AU8" i="2"/>
  <c r="AV8" i="2"/>
  <c r="AW8" i="2"/>
  <c r="AX8" i="2"/>
  <c r="AY8" i="2"/>
  <c r="AZ8" i="2"/>
  <c r="BA8" i="2"/>
  <c r="BB8" i="2"/>
  <c r="BC8" i="2"/>
  <c r="BD8" i="2"/>
  <c r="BE8" i="2"/>
  <c r="BF8" i="2"/>
  <c r="BG8" i="2"/>
  <c r="AJ8" i="2"/>
  <c r="AK8" i="2"/>
  <c r="AG3" i="2" a="1"/>
  <c r="AG3" i="2" s="1"/>
  <c r="AF3" i="2" a="1"/>
  <c r="AF3" i="2" s="1"/>
  <c r="AF5" i="2" a="1"/>
  <c r="AF5" i="2" s="1"/>
  <c r="AG5" i="2" a="1"/>
  <c r="AG5" i="2" s="1"/>
  <c r="AG9" i="2" a="1"/>
  <c r="AG9" i="2" s="1"/>
  <c r="AF9" i="2" a="1"/>
  <c r="AF9" i="2" s="1"/>
  <c r="B13" i="7"/>
  <c r="D13" i="7" a="1"/>
  <c r="D13" i="7" s="1"/>
  <c r="B2" i="7"/>
  <c r="D2" i="7" a="1"/>
  <c r="D2" i="7" s="1"/>
  <c r="AG11" i="2" a="1"/>
  <c r="AG11" i="2" s="1"/>
  <c r="AF11" i="2" a="1"/>
  <c r="AF11" i="2" s="1"/>
  <c r="AG10" i="2" a="1"/>
  <c r="AG10" i="2" s="1"/>
  <c r="AF10" i="2" a="1"/>
  <c r="AF10" i="2" s="1"/>
  <c r="AG7" i="2" a="1"/>
  <c r="AG7" i="2" s="1"/>
  <c r="AF7" i="2" a="1"/>
  <c r="AF7" i="2" s="1"/>
  <c r="AF6" i="2" a="1"/>
  <c r="AF6" i="2" s="1"/>
  <c r="AG6" i="2" a="1"/>
  <c r="AG6" i="2" s="1"/>
  <c r="AG4" i="2" a="1"/>
  <c r="AG4" i="2" s="1"/>
  <c r="AF4" i="2" a="1"/>
  <c r="AF4" i="2" s="1"/>
  <c r="AG2" i="2" a="1"/>
  <c r="AG2" i="2" s="1"/>
  <c r="AF2" i="2" a="1"/>
  <c r="AF2" i="2" s="1"/>
  <c r="AI3" i="2" l="1"/>
  <c r="AH3" i="2"/>
  <c r="AI5" i="2"/>
  <c r="AH5" i="2"/>
  <c r="AI9" i="2"/>
  <c r="AH9" i="2"/>
  <c r="AI11" i="2"/>
  <c r="AH11" i="2"/>
  <c r="AI10" i="2"/>
  <c r="AH10" i="2"/>
  <c r="AI7" i="2"/>
  <c r="AH7" i="2"/>
  <c r="AI6" i="2"/>
  <c r="AH6" i="2"/>
  <c r="AI4" i="2"/>
  <c r="AH4" i="2"/>
  <c r="AI2" i="2"/>
  <c r="AH2" i="2"/>
  <c r="AK3" i="2" l="1"/>
  <c r="AJ3" i="2"/>
  <c r="AL3" i="2"/>
  <c r="AK5" i="2"/>
  <c r="AJ5" i="2"/>
  <c r="AL5" i="2"/>
  <c r="AK9" i="2"/>
  <c r="AJ9" i="2"/>
  <c r="AL9" i="2"/>
  <c r="AK11" i="2"/>
  <c r="AJ11" i="2"/>
  <c r="AL11" i="2" s="1"/>
  <c r="AK10" i="2"/>
  <c r="AJ10" i="2"/>
  <c r="AL10" i="2"/>
  <c r="AK7" i="2"/>
  <c r="AJ7" i="2"/>
  <c r="AL7" i="2"/>
  <c r="AK6" i="2"/>
  <c r="AJ6" i="2"/>
  <c r="AL6" i="2" s="1"/>
  <c r="AK4" i="2"/>
  <c r="AJ4" i="2"/>
  <c r="AL4" i="2" s="1"/>
  <c r="AK2" i="2"/>
  <c r="AJ2" i="2"/>
  <c r="AL2" i="2"/>
  <c r="AQ3" i="2" l="1"/>
  <c r="AP3" i="2"/>
  <c r="AO3" i="2"/>
  <c r="AN3" i="2"/>
  <c r="AM3" i="2"/>
  <c r="BJ3" i="2" s="1"/>
  <c r="AQ5" i="2"/>
  <c r="AP5" i="2"/>
  <c r="AO5" i="2"/>
  <c r="AN5" i="2"/>
  <c r="AM5" i="2"/>
  <c r="BJ5" i="2" s="1"/>
  <c r="AQ9" i="2"/>
  <c r="AP9" i="2"/>
  <c r="AO9" i="2"/>
  <c r="AN9" i="2"/>
  <c r="AM9" i="2"/>
  <c r="BJ9" i="2" s="1"/>
  <c r="AM11" i="2"/>
  <c r="BJ11" i="2" s="1"/>
  <c r="AN11" i="2"/>
  <c r="AO11" i="2"/>
  <c r="AP11" i="2"/>
  <c r="AQ11" i="2"/>
  <c r="AQ10" i="2"/>
  <c r="AP10" i="2"/>
  <c r="AO10" i="2"/>
  <c r="AN10" i="2"/>
  <c r="AM10" i="2"/>
  <c r="BJ10" i="2" s="1"/>
  <c r="AQ7" i="2"/>
  <c r="AP7" i="2"/>
  <c r="AO7" i="2"/>
  <c r="AN7" i="2"/>
  <c r="AM7" i="2"/>
  <c r="BJ7" i="2" s="1"/>
  <c r="AM6" i="2"/>
  <c r="BJ6" i="2" s="1"/>
  <c r="AN6" i="2"/>
  <c r="AO6" i="2"/>
  <c r="AP6" i="2"/>
  <c r="AQ6" i="2"/>
  <c r="AQ4" i="2"/>
  <c r="AP4" i="2"/>
  <c r="AO4" i="2"/>
  <c r="AN4" i="2"/>
  <c r="AM4" i="2"/>
  <c r="BJ4" i="2" s="1"/>
  <c r="C11" i="7"/>
  <c r="AQ2" i="2"/>
  <c r="AO2" i="2"/>
  <c r="AP2" i="2"/>
  <c r="AN2" i="2"/>
  <c r="AM2" i="2"/>
  <c r="C8" i="7"/>
  <c r="AR3" i="2" l="1"/>
  <c r="AS3" i="2"/>
  <c r="AU3" i="2"/>
  <c r="AV3" i="2"/>
  <c r="AY3" i="2" s="1"/>
  <c r="AR5" i="2"/>
  <c r="AS5" i="2"/>
  <c r="AT5" i="2" s="1"/>
  <c r="AU5" i="2"/>
  <c r="AV5" i="2"/>
  <c r="AY5" i="2"/>
  <c r="AR9" i="2"/>
  <c r="AS9" i="2"/>
  <c r="AU9" i="2"/>
  <c r="AV9" i="2"/>
  <c r="AY9" i="2" s="1"/>
  <c r="AR11" i="2"/>
  <c r="AS11" i="2"/>
  <c r="AT11" i="2"/>
  <c r="AU11" i="2"/>
  <c r="AV11" i="2"/>
  <c r="AW11" i="2"/>
  <c r="AX11" i="2"/>
  <c r="AY11" i="2"/>
  <c r="AZ11" i="2"/>
  <c r="BA11" i="2"/>
  <c r="BB11" i="2"/>
  <c r="BC11" i="2"/>
  <c r="BD11" i="2"/>
  <c r="BE11" i="2"/>
  <c r="BF11" i="2"/>
  <c r="BG11" i="2"/>
  <c r="AR10" i="2"/>
  <c r="AS10" i="2"/>
  <c r="AT10" i="2"/>
  <c r="AU10" i="2"/>
  <c r="AV10" i="2"/>
  <c r="AW10" i="2"/>
  <c r="AX10" i="2"/>
  <c r="AY10" i="2"/>
  <c r="AZ10" i="2"/>
  <c r="BA10" i="2"/>
  <c r="BB10" i="2"/>
  <c r="BC10" i="2"/>
  <c r="BD10" i="2"/>
  <c r="BE10" i="2"/>
  <c r="BF10" i="2"/>
  <c r="BG10" i="2"/>
  <c r="AR7" i="2"/>
  <c r="AS7" i="2"/>
  <c r="AT7" i="2"/>
  <c r="AU7" i="2"/>
  <c r="AV7" i="2"/>
  <c r="AW7" i="2"/>
  <c r="AX7" i="2"/>
  <c r="AY7" i="2"/>
  <c r="AZ7" i="2"/>
  <c r="BA7" i="2"/>
  <c r="BB7" i="2"/>
  <c r="BC7" i="2"/>
  <c r="BD7" i="2"/>
  <c r="BE7" i="2"/>
  <c r="BF7" i="2"/>
  <c r="BG7" i="2"/>
  <c r="AR6" i="2"/>
  <c r="AS6" i="2"/>
  <c r="AT6" i="2"/>
  <c r="AU6" i="2"/>
  <c r="AV6" i="2"/>
  <c r="AW6" i="2"/>
  <c r="AX6" i="2"/>
  <c r="AY6" i="2"/>
  <c r="AZ6" i="2"/>
  <c r="BA6" i="2"/>
  <c r="BB6" i="2"/>
  <c r="BC6" i="2"/>
  <c r="BD6" i="2"/>
  <c r="BE6" i="2"/>
  <c r="BF6" i="2"/>
  <c r="BG6" i="2"/>
  <c r="AR4" i="2"/>
  <c r="AS4" i="2"/>
  <c r="AT4" i="2"/>
  <c r="AU4" i="2"/>
  <c r="AV4" i="2"/>
  <c r="AW4" i="2"/>
  <c r="AX4" i="2"/>
  <c r="AY4" i="2"/>
  <c r="AZ4" i="2"/>
  <c r="BA4" i="2"/>
  <c r="BB4" i="2"/>
  <c r="BE4" i="2"/>
  <c r="BC4" i="2"/>
  <c r="BD4" i="2"/>
  <c r="BF4" i="2"/>
  <c r="BG4" i="2"/>
  <c r="D11" i="7" a="1"/>
  <c r="D11" i="7" s="1"/>
  <c r="B11" i="7"/>
  <c r="AR2" i="2"/>
  <c r="AU2" i="2"/>
  <c r="AW2" i="2"/>
  <c r="AX2" i="2"/>
  <c r="AZ2" i="2"/>
  <c r="BA2" i="2"/>
  <c r="BB2" i="2"/>
  <c r="BC2" i="2"/>
  <c r="BD2" i="2"/>
  <c r="BE2" i="2"/>
  <c r="BF2" i="2"/>
  <c r="BG2" i="2"/>
  <c r="B16" i="6"/>
  <c r="AS2" i="2"/>
  <c r="AT2" i="2"/>
  <c r="AV2" i="2"/>
  <c r="AY2" i="2"/>
  <c r="C5" i="7"/>
  <c r="C6" i="7"/>
  <c r="B21" i="6"/>
  <c r="BJ2" i="2"/>
  <c r="B22" i="6" s="1"/>
  <c r="B11" i="6"/>
  <c r="B13" i="6"/>
  <c r="B15" i="6"/>
  <c r="B10" i="6"/>
  <c r="B12" i="6"/>
  <c r="B14" i="6"/>
  <c r="B8" i="7"/>
  <c r="D8" i="7" a="1"/>
  <c r="D8" i="7" s="1"/>
  <c r="AT3" i="2" l="1"/>
  <c r="AT9" i="2"/>
  <c r="D5" i="7" a="1"/>
  <c r="D5" i="7" s="1"/>
  <c r="B5" i="7"/>
  <c r="D6" i="7" a="1"/>
  <c r="D6" i="7" s="1"/>
  <c r="B6" i="7"/>
  <c r="B7" i="7"/>
  <c r="C7" i="7"/>
  <c r="AW5" i="2"/>
  <c r="AX5" i="2" s="1"/>
  <c r="AZ5" i="2" s="1"/>
  <c r="BB5" i="2"/>
  <c r="AW3" i="2" l="1"/>
  <c r="AX3" i="2" s="1"/>
  <c r="AZ3" i="2" s="1"/>
  <c r="BB3" i="2"/>
  <c r="B17" i="6" s="1"/>
  <c r="BB9" i="2"/>
  <c r="AW9" i="2"/>
  <c r="AX9" i="2" s="1"/>
  <c r="AZ9" i="2" s="1"/>
  <c r="BA9" i="2" s="1"/>
  <c r="BD5" i="2"/>
  <c r="BA5" i="2"/>
  <c r="BD9" i="2"/>
  <c r="BA3" i="2" l="1"/>
  <c r="BD3" i="2"/>
  <c r="C9" i="7"/>
  <c r="BE5" i="2"/>
  <c r="BC5" i="2"/>
  <c r="BE9" i="2"/>
  <c r="BC9" i="2"/>
  <c r="BE3" i="2" l="1"/>
  <c r="BC3" i="2"/>
  <c r="B9" i="7"/>
  <c r="B16" i="7" s="1"/>
  <c r="D9" i="7" a="1"/>
  <c r="D9" i="7" s="1"/>
  <c r="BG5" i="2"/>
  <c r="BF5" i="2"/>
  <c r="BF9" i="2"/>
  <c r="BG9" i="2"/>
  <c r="BF3" i="2" l="1"/>
  <c r="B19" i="6" s="1"/>
  <c r="B18" i="6"/>
  <c r="BG3" i="2"/>
  <c r="B20" i="6" s="1"/>
  <c r="B24" i="6"/>
  <c r="A11" i="1"/>
</calcChain>
</file>

<file path=xl/sharedStrings.xml><?xml version="1.0" encoding="utf-8"?>
<sst xmlns="http://schemas.openxmlformats.org/spreadsheetml/2006/main" count="357" uniqueCount="244">
  <si>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</si>
  <si>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</si>
  <si>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</si>
  <si>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</si>
  <si>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</si>
  <si>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</si>
  <si>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</si>
  <si>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</si>
  <si>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0.2.1.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</si>
  <si>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</si>
  <si>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</si>
  <si>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</si>
  <si>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</si>
  <si>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</si>
  <si>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</si>
  <si>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</si>
  <si>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</si>
  <si>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</si>
  <si>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</si>
  <si>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</si>
  <si>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</si>
  <si>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</si>
  <si>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</si>
  <si>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</si>
  <si>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</si>
  <si>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</si>
  <si>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</si>
  <si>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</si>
  <si>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</si>
  <si>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</si>
  <si>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</si>
  <si>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</si>
  <si>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</si>
  <si>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</si>
  <si>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</si>
  <si>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</si>
  <si>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</si>
  <si>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</si>
  <si>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</si>
  <si>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</si>
  <si>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</si>
  <si>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</si>
  <si>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</si>
  <si>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</si>
  <si>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</si>
  <si>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</si>
  <si>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</si>
  <si>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</si>
  <si>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</si>
  <si>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</si>
  <si>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</si>
  <si>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</si>
  <si>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</si>
  <si>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</si>
  <si>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</si>
  <si>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</si>
  <si>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</si>
  <si>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</si>
  <si>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</si>
  <si>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</si>
  <si>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Past_gic_table</t>
  </si>
  <si>
    <t>NEC</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</si>
  <si>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</si>
  <si>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</si>
  <si>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</si>
  <si>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</si>
  <si>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</si>
  <si>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</si>
  <si>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</si>
  <si>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</si>
  <si>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</si>
  <si>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</si>
  <si>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</si>
  <si>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</si>
  <si>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</si>
  <si>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</si>
  <si>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</si>
  <si>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</si>
  <si>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</si>
  <si>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</si>
  <si>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</si>
  <si>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</si>
  <si>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</si>
  <si>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</si>
  <si>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</si>
  <si>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</si>
  <si>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</si>
  <si>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</si>
  <si>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</si>
  <si>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</si>
  <si>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</si>
  <si>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</si>
  <si>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</si>
  <si>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</si>
  <si>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</si>
  <si>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</si>
  <si>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</si>
  <si>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</si>
  <si>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</si>
  <si>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</si>
  <si>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</si>
  <si>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</si>
  <si>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</si>
  <si>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</si>
  <si>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</si>
  <si>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</si>
  <si>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</si>
  <si>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</si>
  <si>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</si>
  <si>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</si>
  <si>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</si>
  <si>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</si>
  <si>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</si>
  <si>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</si>
  <si>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</si>
  <si>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</si>
  <si>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</si>
  <si>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</si>
  <si>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</si>
  <si>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</si>
  <si>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</si>
  <si>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</si>
  <si>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</si>
  <si>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</si>
  <si>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</si>
  <si>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</si>
  <si>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U1</t>
  </si>
  <si>
    <t>U2</t>
  </si>
  <si>
    <t>UNPAID or ON_TIME</t>
  </si>
  <si>
    <t>U3</t>
  </si>
  <si>
    <t>NOT_YET_DUE or ON_TIME</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</si>
  <si>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</si>
  <si>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</si>
  <si>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</si>
  <si>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</si>
  <si>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</si>
  <si>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</si>
  <si>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</si>
  <si>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</si>
  <si>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</si>
  <si>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</si>
  <si>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</si>
  <si>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</si>
  <si>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</si>
  <si>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</si>
  <si>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</si>
  <si>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</si>
  <si>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</si>
  <si>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</si>
  <si>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</si>
  <si>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</si>
  <si>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</si>
  <si>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</si>
  <si>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</si>
  <si>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</si>
  <si>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</si>
  <si>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</si>
  <si>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</si>
  <si>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</si>
  <si>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</si>
  <si>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</si>
  <si>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</si>
  <si>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</si>
  <si>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</si>
  <si>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</si>
  <si>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</si>
  <si>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</si>
  <si>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</si>
  <si>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</si>
  <si>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</si>
  <si>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</si>
  <si>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</si>
  <si>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</si>
  <si>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</si>
  <si>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</si>
  <si>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</si>
  <si>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</si>
  <si>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</si>
  <si>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</si>
  <si>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</si>
  <si>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</si>
  <si>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</si>
  <si>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</si>
  <si>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General interest charge, TAA 1953 s 8AAD: annual rate divided by the days in the calendar year. Only the ATO's published quarters are listed. A line whose accrual runs past the last row keeps its verdict, days late and shortfall and shows no notional earnings or charge estimate, as the checker does without --allow-stale-gic; the workbook has no opt-in. Add each new quarter from the ATO GIC rates page.</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</si>
  <si>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</si>
  <si>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</si>
  <si>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</si>
  <si>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</si>
  <si>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</si>
  <si>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</si>
  <si>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</si>
  <si>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</si>
  <si>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</si>
  <si>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</si>
  <si>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</si>
  <si>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</si>
  <si>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</si>
  <si>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</si>
  <si>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</si>
  <si>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</si>
  <si>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</si>
  <si>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</si>
  <si>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</si>
  <si>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</si>
  <si>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</si>
  <si>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</si>
  <si>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</si>
  <si>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</si>
  <si>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</si>
  <si>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</si>
  <si>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</si>
  <si>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</si>
  <si>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</si>
  <si>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Accruals past the GIC table (charge estimate withheld until the rate is added)</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</si>
  <si>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</si>
  <si>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</si>
  <si>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</si>
  <si>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</si>
  <si>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</si>
  <si>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</si>
  <si>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</si>
  <si>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</si>
  <si>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 Past the last published GIC quarter the notional earnings and the charge estimate are withheld, as the command line withholds them without --allow-stale-gic.</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</si>
  <si>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</si>
  <si>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</si>
  <si>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</si>
  <si>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</si>
  <si>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</si>
  <si>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</si>
  <si>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0.2.1</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</si>
  <si>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</si>
  <si>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</si>
  <si>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</si>
  <si>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</si>
  <si>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</si>
  <si>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</si>
  <si>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</si>
  <si>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</si>
  <si>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an accrual past that day withholds the charge estimate</t>
  </si>
  <si>
    <t>No-install explainer</t>
  </si>
  <si>
    <t>https://duguid.com.au/tools/payday-super/</t>
  </si>
  <si>
    <t>Disclaimer</t>
  </si>
  <si>
    <t>Experimental review aid. Not a compliance determination, not an ATO assessment, and not tax, legal or financial advice.</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</si>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</sst>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Row],[Stale_prepay]]=0,AND(tblLines[[#This Row],[Receipt_credit]]&gt;=ROUND(tblLines[[#This Row],[sg_amount]],2),OR(ISNUMBER(tblLines[[#This Row],[matched_amount]]),ISNUMBER(tblLines[[#This Row],[remitted_amount]])))),tblLines[[#This Row],[Settled]],Summary!$D$2),"")</calculatedColumnFormula>
    </tableColumn>
    <tableColumn id="49" xr3:uid="{00000000-0010-0000-0000-000031000000}" name="Accrual_to">
      <calculatedColumnFormula>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Past_gic_table">
      <calculatedColumnFormula>IF((tblLines[[#This Row],[Exposed]]=1),IF(tblLines[[#This Row],[NEC_end]]&gt;Summary!$B$7,1,0),"")</calculatedColumnFormula>
    </tableColumn>
    <tableColumn id="53" xr3:uid="{00000000-0010-0000-0000-000035000000}" name="NEC">
      <calculatedColumnFormula>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Row],[Exposed]]=1),IF(tblLines[[#This Row],[Past_gic_table]]=1,"",ROUND(tblLines[[#This Row],[NEC]],2)),"")</calculatedColumnFormula>
    </tableColumn>
    <tableColumn id="56" xr3:uid="{00000000-0010-0000-0000-000038000000}" name="Uplift_best">
      <calculatedColumnFormula>IF((tblLines[[#This Row],[Exposed]]=1),IF(tblLines[[#This Row],[Past_gic_table]]=1,"",0),"")</calculatedColumnFormula>
    </tableColumn>
    <tableColumn id="57" xr3:uid="{00000000-0010-0000-0000-000039000000}" name="Uplift_worst">
      <calculatedColumnFormula>IF((tblLines[[#This Row],[Exposed]]=1),IF(tblLines[[#This Row],[Past_gic_table]]=1,"",ROUND(0.6*(tblLines[[#This Row],[Final_shortfall]]+tblLines[[#This Row],[NEC]]),2)),"")</calculatedColumnFormula>
    </tableColumn>
    <tableColumn id="58" xr3:uid="{00000000-0010-0000-0000-00003A000000}" name="SGC_low">
      <calculatedColumnFormula>IF((tblLines[[#This Row],[Exposed]]=1),IF(tblLines[[#This Row],[Past_gic_table]]=1,"",tblLines[[#This Row],[Shortfall_r]]+tblLines[[#This Row],[NEC_r]]+tblLines[[#This Row],[Uplift_best]]),"")</calculatedColumnFormula>
    </tableColumn>
    <tableColumn id="59" xr3:uid="{00000000-0010-0000-0000-00003B000000}" name="SGC_high">
      <calculatedColumnFormula>IF((tblLines[[#This Row],[Exposed]]=1),IF(tblLines[[#This Row],[Past_gic_table]]=1,"",tblLines[[#This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30">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4">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v>612</v>
      </c>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2"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0" t="str">
        <f>IF((tblLines[[#This Row],[Exposed]]=1),IF(tblLines[[#This Row],[NEC_end]]&gt;Summary!$B$7,1,0),"")</f>
        <v/>
      </c>
      <c r="BA2"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2" s="11" t="str">
        <f>IF((tblLines[[#This Row],[Exposed]]=1),ROUND(tblLines[[#This Row],[Final_shortfall]],2),"")</f>
        <v/>
      </c>
      <c r="BC2" s="11" t="str">
        <f>IF((tblLines[[#This Row],[Exposed]]=1),IF(tblLines[[#This Row],[Past_gic_table]]=1,"",ROUND(tblLines[[#This Row],[NEC]],2)),"")</f>
        <v/>
      </c>
      <c r="BD2" s="11" t="str">
        <f>IF((tblLines[[#This Row],[Exposed]]=1),IF(tblLines[[#This Row],[Past_gic_table]]=1,"",0),"")</f>
        <v/>
      </c>
      <c r="BE2" s="11" t="str">
        <f>IF((tblLines[[#This Row],[Exposed]]=1),IF(tblLines[[#This Row],[Past_gic_table]]=1,"",ROUND(0.6*(tblLines[[#This Row],[Final_shortfall]]+tblLines[[#This Row],[NEC]]),2)),"")</f>
        <v/>
      </c>
      <c r="BF2" s="11" t="str">
        <f>IF((tblLines[[#This Row],[Exposed]]=1),IF(tblLines[[#This Row],[Past_gic_table]]=1,"",tblLines[[#This Row],[Shortfall_r]]+tblLines[[#This Row],[NEC_r]]+tblLines[[#This Row],[Uplift_best]]),"")</f>
        <v/>
      </c>
      <c r="BG2" s="11" t="str">
        <f>IF((tblLines[[#This Row],[Exposed]]=1),IF(tblLines[[#This Row],[Past_gic_table]]=1,"",tblLines[[#This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v>540</v>
      </c>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Row],[Stale_prepay]]=0,AND(tblLines[[#This Row],[Receipt_credit]]&gt;=ROUND(tblLines[[#This Row],[sg_amount]],2),OR(ISNUMBER(tblLines[[#This Row],[matched_amount]]),ISNUMBER(tblLines[[#This Row],[remitted_amount]])))),tblLines[[#This Row],[Settled]],Summary!$D$2),"")</f>
        <v>46238</v>
      </c>
      <c r="AW3"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0">
        <f>IF((tblLines[[#This Row],[Exposed]]=1),IF(tblLines[[#This Row],[NEC_end]]&gt;Summary!$B$7,1,0),"")</f>
        <v>0</v>
      </c>
      <c r="BA3"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B3" s="11">
        <f>IF((tblLines[[#This Row],[Exposed]]=1),ROUND(tblLines[[#This Row],[Final_shortfall]],2),"")</f>
        <v>0</v>
      </c>
      <c r="BC3" s="11">
        <f>IF((tblLines[[#This Row],[Exposed]]=1),IF(tblLines[[#This Row],[Past_gic_table]]=1,"",ROUND(tblLines[[#This Row],[NEC]],2)),"")</f>
        <v>2.54</v>
      </c>
      <c r="BD3" s="11">
        <f>IF((tblLines[[#This Row],[Exposed]]=1),IF(tblLines[[#This Row],[Past_gic_table]]=1,"",0),"")</f>
        <v>0</v>
      </c>
      <c r="BE3" s="11">
        <f>IF((tblLines[[#This Row],[Exposed]]=1),IF(tblLines[[#This Row],[Past_gic_table]]=1,"",ROUND(0.6*(tblLines[[#This Row],[Final_shortfall]]+tblLines[[#This Row],[NEC]]),2)),"")</f>
        <v>1.53</v>
      </c>
      <c r="BF3" s="11">
        <f>IF((tblLines[[#This Row],[Exposed]]=1),IF(tblLines[[#This Row],[Past_gic_table]]=1,"",tblLines[[#This Row],[Shortfall_r]]+tblLines[[#This Row],[NEC_r]]+tblLines[[#This Row],[Uplift_best]]),"")</f>
        <v>2.54</v>
      </c>
      <c r="BG3" s="11">
        <f>IF((tblLines[[#This Row],[Exposed]]=1),IF(tblLines[[#This Row],[Past_gic_table]]=1,"",tblLines[[#This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4"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0" t="str">
        <f>IF((tblLines[[#This Row],[Exposed]]=1),IF(tblLines[[#This Row],[NEC_end]]&gt;Summary!$B$7,1,0),"")</f>
        <v/>
      </c>
      <c r="BA4"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4" s="11" t="str">
        <f>IF((tblLines[[#This Row],[Exposed]]=1),ROUND(tblLines[[#This Row],[Final_shortfall]],2),"")</f>
        <v/>
      </c>
      <c r="BC4" s="11" t="str">
        <f>IF((tblLines[[#This Row],[Exposed]]=1),IF(tblLines[[#This Row],[Past_gic_table]]=1,"",ROUND(tblLines[[#This Row],[NEC]],2)),"")</f>
        <v/>
      </c>
      <c r="BD4" s="11" t="str">
        <f>IF((tblLines[[#This Row],[Exposed]]=1),IF(tblLines[[#This Row],[Past_gic_table]]=1,"",0),"")</f>
        <v/>
      </c>
      <c r="BE4" s="11" t="str">
        <f>IF((tblLines[[#This Row],[Exposed]]=1),IF(tblLines[[#This Row],[Past_gic_table]]=1,"",ROUND(0.6*(tblLines[[#This Row],[Final_shortfall]]+tblLines[[#This Row],[NEC]]),2)),"")</f>
        <v/>
      </c>
      <c r="BF4" s="11" t="str">
        <f>IF((tblLines[[#This Row],[Exposed]]=1),IF(tblLines[[#This Row],[Past_gic_table]]=1,"",tblLines[[#This Row],[Shortfall_r]]+tblLines[[#This Row],[NEC_r]]+tblLines[[#This Row],[Uplift_best]]),"")</f>
        <v/>
      </c>
      <c r="BG4" s="11" t="str">
        <f>IF((tblLines[[#This Row],[Exposed]]=1),IF(tblLines[[#This Row],[Past_gic_table]]=1,"",tblLines[[#This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Row],[Stale_prepay]]=0,AND(tblLines[[#This Row],[Receipt_credit]]&gt;=ROUND(tblLines[[#This Row],[sg_amount]],2),OR(ISNUMBER(tblLines[[#This Row],[matched_amount]]),ISNUMBER(tblLines[[#This Row],[remitted_amount]])))),tblLines[[#This Row],[Settled]],Summary!$D$2),"")</f>
        <v>46244</v>
      </c>
      <c r="AW5"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0">
        <f>IF((tblLines[[#This Row],[Exposed]]=1),IF(tblLines[[#This Row],[NEC_end]]&gt;Summary!$B$7,1,0),"")</f>
        <v>0</v>
      </c>
      <c r="BA5"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B5" s="11">
        <f>IF((tblLines[[#This Row],[Exposed]]=1),ROUND(tblLines[[#This Row],[Final_shortfall]],2),"")</f>
        <v>780</v>
      </c>
      <c r="BC5" s="11">
        <f>IF((tblLines[[#This Row],[Exposed]]=1),IF(tblLines[[#This Row],[Past_gic_table]]=1,"",ROUND(tblLines[[#This Row],[NEC]],2)),"")</f>
        <v>5.15</v>
      </c>
      <c r="BD5" s="11">
        <f>IF((tblLines[[#This Row],[Exposed]]=1),IF(tblLines[[#This Row],[Past_gic_table]]=1,"",0),"")</f>
        <v>0</v>
      </c>
      <c r="BE5" s="11">
        <f>IF((tblLines[[#This Row],[Exposed]]=1),IF(tblLines[[#This Row],[Past_gic_table]]=1,"",ROUND(0.6*(tblLines[[#This Row],[Final_shortfall]]+tblLines[[#This Row],[NEC]]),2)),"")</f>
        <v>471.09</v>
      </c>
      <c r="BF5" s="11">
        <f>IF((tblLines[[#This Row],[Exposed]]=1),IF(tblLines[[#This Row],[Past_gic_table]]=1,"",tblLines[[#This Row],[Shortfall_r]]+tblLines[[#This Row],[NEC_r]]+tblLines[[#This Row],[Uplift_best]]),"")</f>
        <v>785.15</v>
      </c>
      <c r="BG5" s="11">
        <f>IF((tblLines[[#This Row],[Exposed]]=1),IF(tblLines[[#This Row],[Past_gic_table]]=1,"",tblLines[[#This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v>450</v>
      </c>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6"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0" t="str">
        <f>IF((tblLines[[#This Row],[Exposed]]=1),IF(tblLines[[#This Row],[NEC_end]]&gt;Summary!$B$7,1,0),"")</f>
        <v/>
      </c>
      <c r="BA6"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6" s="11" t="str">
        <f>IF((tblLines[[#This Row],[Exposed]]=1),ROUND(tblLines[[#This Row],[Final_shortfall]],2),"")</f>
        <v/>
      </c>
      <c r="BC6" s="11" t="str">
        <f>IF((tblLines[[#This Row],[Exposed]]=1),IF(tblLines[[#This Row],[Past_gic_table]]=1,"",ROUND(tblLines[[#This Row],[NEC]],2)),"")</f>
        <v/>
      </c>
      <c r="BD6" s="11" t="str">
        <f>IF((tblLines[[#This Row],[Exposed]]=1),IF(tblLines[[#This Row],[Past_gic_table]]=1,"",0),"")</f>
        <v/>
      </c>
      <c r="BE6" s="11" t="str">
        <f>IF((tblLines[[#This Row],[Exposed]]=1),IF(tblLines[[#This Row],[Past_gic_table]]=1,"",ROUND(0.6*(tblLines[[#This Row],[Final_shortfall]]+tblLines[[#This Row],[NEC]]),2)),"")</f>
        <v/>
      </c>
      <c r="BF6" s="11" t="str">
        <f>IF((tblLines[[#This Row],[Exposed]]=1),IF(tblLines[[#This Row],[Past_gic_table]]=1,"",tblLines[[#This Row],[Shortfall_r]]+tblLines[[#This Row],[NEC_r]]+tblLines[[#This Row],[Uplift_best]]),"")</f>
        <v/>
      </c>
      <c r="BG6" s="11" t="str">
        <f>IF((tblLines[[#This Row],[Exposed]]=1),IF(tblLines[[#This Row],[Past_gic_table]]=1,"",tblLines[[#This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v>120</v>
      </c>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7"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0" t="str">
        <f>IF((tblLines[[#This Row],[Exposed]]=1),IF(tblLines[[#This Row],[NEC_end]]&gt;Summary!$B$7,1,0),"")</f>
        <v/>
      </c>
      <c r="BA7"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7" s="11" t="str">
        <f>IF((tblLines[[#This Row],[Exposed]]=1),ROUND(tblLines[[#This Row],[Final_shortfall]],2),"")</f>
        <v/>
      </c>
      <c r="BC7" s="11" t="str">
        <f>IF((tblLines[[#This Row],[Exposed]]=1),IF(tblLines[[#This Row],[Past_gic_table]]=1,"",ROUND(tblLines[[#This Row],[NEC]],2)),"")</f>
        <v/>
      </c>
      <c r="BD7" s="11" t="str">
        <f>IF((tblLines[[#This Row],[Exposed]]=1),IF(tblLines[[#This Row],[Past_gic_table]]=1,"",0),"")</f>
        <v/>
      </c>
      <c r="BE7" s="11" t="str">
        <f>IF((tblLines[[#This Row],[Exposed]]=1),IF(tblLines[[#This Row],[Past_gic_table]]=1,"",ROUND(0.6*(tblLines[[#This Row],[Final_shortfall]]+tblLines[[#This Row],[NEC]]),2)),"")</f>
        <v/>
      </c>
      <c r="BF7" s="11" t="str">
        <f>IF((tblLines[[#This Row],[Exposed]]=1),IF(tblLines[[#This Row],[Past_gic_table]]=1,"",tblLines[[#This Row],[Shortfall_r]]+tblLines[[#This Row],[NEC_r]]+tblLines[[#This Row],[Uplift_best]]),"")</f>
        <v/>
      </c>
      <c r="BG7" s="11" t="str">
        <f>IF((tblLines[[#This Row],[Exposed]]=1),IF(tblLines[[#This Row],[Past_gic_table]]=1,"",tblLines[[#This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v>900</v>
      </c>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8"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0" t="str">
        <f>IF((tblLines[[#This Row],[Exposed]]=1),IF(tblLines[[#This Row],[NEC_end]]&gt;Summary!$B$7,1,0),"")</f>
        <v/>
      </c>
      <c r="BA8"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8" s="11" t="str">
        <f>IF((tblLines[[#This Row],[Exposed]]=1),ROUND(tblLines[[#This Row],[Final_shortfall]],2),"")</f>
        <v/>
      </c>
      <c r="BC8" s="11" t="str">
        <f>IF((tblLines[[#This Row],[Exposed]]=1),IF(tblLines[[#This Row],[Past_gic_table]]=1,"",ROUND(tblLines[[#This Row],[NEC]],2)),"")</f>
        <v/>
      </c>
      <c r="BD8" s="11" t="str">
        <f>IF((tblLines[[#This Row],[Exposed]]=1),IF(tblLines[[#This Row],[Past_gic_table]]=1,"",0),"")</f>
        <v/>
      </c>
      <c r="BE8" s="11" t="str">
        <f>IF((tblLines[[#This Row],[Exposed]]=1),IF(tblLines[[#This Row],[Past_gic_table]]=1,"",ROUND(0.6*(tblLines[[#This Row],[Final_shortfall]]+tblLines[[#This Row],[NEC]]),2)),"")</f>
        <v/>
      </c>
      <c r="BF8" s="11" t="str">
        <f>IF((tblLines[[#This Row],[Exposed]]=1),IF(tblLines[[#This Row],[Past_gic_table]]=1,"",tblLines[[#This Row],[Shortfall_r]]+tblLines[[#This Row],[NEC_r]]+tblLines[[#This Row],[Uplift_best]]),"")</f>
        <v/>
      </c>
      <c r="BG8" s="11" t="str">
        <f>IF((tblLines[[#This Row],[Exposed]]=1),IF(tblLines[[#This Row],[Past_gic_table]]=1,"",tblLines[[#This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v>612</v>
      </c>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Row],[Stale_prepay]]=0,AND(tblLines[[#This Row],[Receipt_credit]]&gt;=ROUND(tblLines[[#This Row],[sg_amount]],2),OR(ISNUMBER(tblLines[[#This Row],[matched_amount]]),ISNUMBER(tblLines[[#This Row],[remitted_amount]])))),tblLines[[#This Row],[Settled]],Summary!$D$2),"")</f>
        <v>46240</v>
      </c>
      <c r="AW9"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0">
        <f>IF((tblLines[[#This Row],[Exposed]]=1),IF(tblLines[[#This Row],[NEC_end]]&gt;Summary!$B$7,1,0),"")</f>
        <v>0</v>
      </c>
      <c r="BA9"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B9" s="11">
        <f>IF((tblLines[[#This Row],[Exposed]]=1),ROUND(tblLines[[#This Row],[Final_shortfall]],2),"")</f>
        <v>0</v>
      </c>
      <c r="BC9" s="11">
        <f>IF((tblLines[[#This Row],[Exposed]]=1),IF(tblLines[[#This Row],[Past_gic_table]]=1,"",ROUND(tblLines[[#This Row],[NEC]],2)),"")</f>
        <v>0.38</v>
      </c>
      <c r="BD9" s="11">
        <f>IF((tblLines[[#This Row],[Exposed]]=1),IF(tblLines[[#This Row],[Past_gic_table]]=1,"",0),"")</f>
        <v>0</v>
      </c>
      <c r="BE9" s="11">
        <f>IF((tblLines[[#This Row],[Exposed]]=1),IF(tblLines[[#This Row],[Past_gic_table]]=1,"",ROUND(0.6*(tblLines[[#This Row],[Final_shortfall]]+tblLines[[#This Row],[NEC]]),2)),"")</f>
        <v>0.23</v>
      </c>
      <c r="BF9" s="11">
        <f>IF((tblLines[[#This Row],[Exposed]]=1),IF(tblLines[[#This Row],[Past_gic_table]]=1,"",tblLines[[#This Row],[Shortfall_r]]+tblLines[[#This Row],[NEC_r]]+tblLines[[#This Row],[Uplift_best]]),"")</f>
        <v>0.38</v>
      </c>
      <c r="BG9" s="11">
        <f>IF((tblLines[[#This Row],[Exposed]]=1),IF(tblLines[[#This Row],[Past_gic_table]]=1,"",tblLines[[#This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v>540</v>
      </c>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0"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0" t="str">
        <f>IF((tblLines[[#This Row],[Exposed]]=1),IF(tblLines[[#This Row],[NEC_end]]&gt;Summary!$B$7,1,0),"")</f>
        <v/>
      </c>
      <c r="BA10"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0" s="11" t="str">
        <f>IF((tblLines[[#This Row],[Exposed]]=1),ROUND(tblLines[[#This Row],[Final_shortfall]],2),"")</f>
        <v/>
      </c>
      <c r="BC10" s="11" t="str">
        <f>IF((tblLines[[#This Row],[Exposed]]=1),IF(tblLines[[#This Row],[Past_gic_table]]=1,"",ROUND(tblLines[[#This Row],[NEC]],2)),"")</f>
        <v/>
      </c>
      <c r="BD10" s="11" t="str">
        <f>IF((tblLines[[#This Row],[Exposed]]=1),IF(tblLines[[#This Row],[Past_gic_table]]=1,"",0),"")</f>
        <v/>
      </c>
      <c r="BE10" s="11" t="str">
        <f>IF((tblLines[[#This Row],[Exposed]]=1),IF(tblLines[[#This Row],[Past_gic_table]]=1,"",ROUND(0.6*(tblLines[[#This Row],[Final_shortfall]]+tblLines[[#This Row],[NEC]]),2)),"")</f>
        <v/>
      </c>
      <c r="BF10" s="11" t="str">
        <f>IF((tblLines[[#This Row],[Exposed]]=1),IF(tblLines[[#This Row],[Past_gic_table]]=1,"",tblLines[[#This Row],[Shortfall_r]]+tblLines[[#This Row],[NEC_r]]+tblLines[[#This Row],[Uplift_best]]),"")</f>
        <v/>
      </c>
      <c r="BG10" s="11" t="str">
        <f>IF((tblLines[[#This Row],[Exposed]]=1),IF(tblLines[[#This Row],[Past_gic_table]]=1,"",tblLines[[#This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v>450</v>
      </c>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1"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0" t="str">
        <f>IF((tblLines[[#This Row],[Exposed]]=1),IF(tblLines[[#This Row],[NEC_end]]&gt;Summary!$B$7,1,0),"")</f>
        <v/>
      </c>
      <c r="BA11"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1" s="11" t="str">
        <f>IF((tblLines[[#This Row],[Exposed]]=1),ROUND(tblLines[[#This Row],[Final_shortfall]],2),"")</f>
        <v/>
      </c>
      <c r="BC11" s="11" t="str">
        <f>IF((tblLines[[#This Row],[Exposed]]=1),IF(tblLines[[#This Row],[Past_gic_table]]=1,"",ROUND(tblLines[[#This Row],[NEC]],2)),"")</f>
        <v/>
      </c>
      <c r="BD11" s="11" t="str">
        <f>IF((tblLines[[#This Row],[Exposed]]=1),IF(tblLines[[#This Row],[Past_gic_table]]=1,"",0),"")</f>
        <v/>
      </c>
      <c r="BE11" s="11" t="str">
        <f>IF((tblLines[[#This Row],[Exposed]]=1),IF(tblLines[[#This Row],[Past_gic_table]]=1,"",ROUND(0.6*(tblLines[[#This Row],[Final_shortfall]]+tblLines[[#This Row],[NEC]]),2)),"")</f>
        <v/>
      </c>
      <c r="BF11" s="11" t="str">
        <f>IF((tblLines[[#This Row],[Exposed]]=1),IF(tblLines[[#This Row],[Past_gic_table]]=1,"",tblLines[[#This Row],[Shortfall_r]]+tblLines[[#This Row],[NEC_r]]+tblLines[[#This Row],[Uplift_best]]),"")</f>
        <v/>
      </c>
      <c r="BG11" s="11" t="str">
        <f>IF((tblLines[[#This Row],[Exposed]]=1),IF(tblLines[[#This Row],[Past_gic_table]]=1,"",tblLines[[#This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row r="28" spans="1:6" x14ac:dyDescent="0.25">
      <c r="A28" t="s">
        <v>126</v>
      </c>
      <c r="B28" t="s">
        <v>92</v>
      </c>
      <c r="C28" t="s">
        <v>106</v>
      </c>
      <c r="D28">
        <v>0</v>
      </c>
      <c r="E28">
        <v>0</v>
      </c>
      <c r="F28">
        <v>0</v>
      </c>
    </row>
    <row r="29" spans="1:6" x14ac:dyDescent="0.25">
      <c r="A29" t="s">
        <v>127</v>
      </c>
      <c r="B29" t="s">
        <v>92</v>
      </c>
      <c r="C29" t="s">
        <v>128</v>
      </c>
      <c r="D29">
        <v>0</v>
      </c>
      <c r="E29">
        <v>0</v>
      </c>
      <c r="F29">
        <v>0</v>
      </c>
    </row>
    <row r="30" spans="1:6" x14ac:dyDescent="0.25">
      <c r="A30" t="s">
        <v>129</v>
      </c>
      <c r="B30" t="s">
        <v>92</v>
      </c>
      <c r="C30" t="s">
        <v>130</v>
      </c>
      <c r="D30">
        <v>0</v>
      </c>
      <c r="E30">
        <v>0</v>
      </c>
      <c r="F30">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131</v>
      </c>
      <c r="B1" s="5" t="s">
        <v>132</v>
      </c>
      <c r="C1" s="5" t="s">
        <v>133</v>
      </c>
    </row>
    <row r="2" spans="1:3" x14ac:dyDescent="0.25">
      <c r="A2" s="7">
        <v>46023</v>
      </c>
      <c r="B2" s="12" t="s">
        <v>134</v>
      </c>
      <c r="C2" s="12" t="s">
        <v>135</v>
      </c>
    </row>
    <row r="3" spans="1:3" x14ac:dyDescent="0.25">
      <c r="A3" s="7">
        <v>46048</v>
      </c>
      <c r="B3" s="12" t="s">
        <v>136</v>
      </c>
      <c r="C3" s="12" t="s">
        <v>135</v>
      </c>
    </row>
    <row r="4" spans="1:3" x14ac:dyDescent="0.25">
      <c r="A4" s="7">
        <v>46083</v>
      </c>
      <c r="B4" s="12" t="s">
        <v>137</v>
      </c>
      <c r="C4" s="12" t="s">
        <v>138</v>
      </c>
    </row>
    <row r="5" spans="1:3" x14ac:dyDescent="0.25">
      <c r="A5" s="7">
        <v>46090</v>
      </c>
      <c r="B5" s="12" t="s">
        <v>139</v>
      </c>
      <c r="C5" s="12" t="s">
        <v>140</v>
      </c>
    </row>
    <row r="6" spans="1:3" x14ac:dyDescent="0.25">
      <c r="A6" s="7">
        <v>46115</v>
      </c>
      <c r="B6" s="12" t="s">
        <v>141</v>
      </c>
      <c r="C6" s="12" t="s">
        <v>135</v>
      </c>
    </row>
    <row r="7" spans="1:3" x14ac:dyDescent="0.25">
      <c r="A7" s="7">
        <v>46116</v>
      </c>
      <c r="B7" s="12" t="s">
        <v>142</v>
      </c>
      <c r="C7" s="12" t="s">
        <v>143</v>
      </c>
    </row>
    <row r="8" spans="1:3" x14ac:dyDescent="0.25">
      <c r="A8" s="7">
        <v>46117</v>
      </c>
      <c r="B8" s="12" t="s">
        <v>144</v>
      </c>
      <c r="C8" s="12" t="s">
        <v>145</v>
      </c>
    </row>
    <row r="9" spans="1:3" x14ac:dyDescent="0.25">
      <c r="A9" s="7">
        <v>46118</v>
      </c>
      <c r="B9" s="12" t="s">
        <v>146</v>
      </c>
      <c r="C9" s="12" t="s">
        <v>135</v>
      </c>
    </row>
    <row r="10" spans="1:3" x14ac:dyDescent="0.25">
      <c r="A10" s="7">
        <v>46137</v>
      </c>
      <c r="B10" s="12" t="s">
        <v>147</v>
      </c>
      <c r="C10" s="12" t="s">
        <v>135</v>
      </c>
    </row>
    <row r="11" spans="1:3" x14ac:dyDescent="0.25">
      <c r="A11" s="7">
        <v>46139</v>
      </c>
      <c r="B11" s="12" t="s">
        <v>148</v>
      </c>
      <c r="C11" s="12" t="s">
        <v>149</v>
      </c>
    </row>
    <row r="12" spans="1:3" x14ac:dyDescent="0.25">
      <c r="A12" s="7">
        <v>46146</v>
      </c>
      <c r="B12" s="12" t="s">
        <v>150</v>
      </c>
      <c r="C12" s="12" t="s">
        <v>151</v>
      </c>
    </row>
    <row r="13" spans="1:3" x14ac:dyDescent="0.25">
      <c r="A13" s="7">
        <v>46174</v>
      </c>
      <c r="B13" s="12" t="s">
        <v>152</v>
      </c>
      <c r="C13" s="12" t="s">
        <v>153</v>
      </c>
    </row>
    <row r="14" spans="1:3" x14ac:dyDescent="0.25">
      <c r="A14" s="7">
        <v>46181</v>
      </c>
      <c r="B14" s="12" t="s">
        <v>154</v>
      </c>
      <c r="C14" s="12" t="s">
        <v>155</v>
      </c>
    </row>
    <row r="15" spans="1:3" x14ac:dyDescent="0.25">
      <c r="A15" s="7">
        <v>46237</v>
      </c>
      <c r="B15" s="12" t="s">
        <v>156</v>
      </c>
      <c r="C15" s="12" t="s">
        <v>157</v>
      </c>
    </row>
    <row r="16" spans="1:3" x14ac:dyDescent="0.25">
      <c r="A16" s="7">
        <v>46290</v>
      </c>
      <c r="B16" s="12" t="s">
        <v>158</v>
      </c>
      <c r="C16" s="12" t="s">
        <v>159</v>
      </c>
    </row>
    <row r="17" spans="1:3" x14ac:dyDescent="0.25">
      <c r="A17" s="7">
        <v>46300</v>
      </c>
      <c r="B17" s="12" t="s">
        <v>160</v>
      </c>
      <c r="C17" s="12" t="s">
        <v>161</v>
      </c>
    </row>
    <row r="18" spans="1:3" x14ac:dyDescent="0.25">
      <c r="A18" s="7">
        <v>46381</v>
      </c>
      <c r="B18" s="12" t="s">
        <v>162</v>
      </c>
      <c r="C18" s="12" t="s">
        <v>135</v>
      </c>
    </row>
    <row r="19" spans="1:3" x14ac:dyDescent="0.25">
      <c r="A19" s="7">
        <v>46382</v>
      </c>
      <c r="B19" s="12" t="s">
        <v>163</v>
      </c>
      <c r="C19" s="12" t="s">
        <v>145</v>
      </c>
    </row>
    <row r="20" spans="1:3" x14ac:dyDescent="0.25">
      <c r="A20" s="7">
        <v>46384</v>
      </c>
      <c r="B20" s="12" t="s">
        <v>164</v>
      </c>
      <c r="C20" s="12" t="s">
        <v>135</v>
      </c>
    </row>
    <row r="21" spans="1:3" x14ac:dyDescent="0.25">
      <c r="A21" s="7">
        <v>46388</v>
      </c>
      <c r="B21" s="12" t="s">
        <v>134</v>
      </c>
      <c r="C21" s="12" t="s">
        <v>135</v>
      </c>
    </row>
    <row r="22" spans="1:3" x14ac:dyDescent="0.25">
      <c r="A22" s="7">
        <v>46413</v>
      </c>
      <c r="B22" s="12" t="s">
        <v>136</v>
      </c>
      <c r="C22" s="12" t="s">
        <v>135</v>
      </c>
    </row>
    <row r="23" spans="1:3" x14ac:dyDescent="0.25">
      <c r="A23" s="7">
        <v>46447</v>
      </c>
      <c r="B23" s="12" t="s">
        <v>137</v>
      </c>
      <c r="C23" s="12" t="s">
        <v>138</v>
      </c>
    </row>
    <row r="24" spans="1:3" x14ac:dyDescent="0.25">
      <c r="A24" s="7">
        <v>46454</v>
      </c>
      <c r="B24" s="12" t="s">
        <v>139</v>
      </c>
      <c r="C24" s="12" t="s">
        <v>140</v>
      </c>
    </row>
    <row r="25" spans="1:3" x14ac:dyDescent="0.25">
      <c r="A25" s="7">
        <v>46472</v>
      </c>
      <c r="B25" s="12" t="s">
        <v>141</v>
      </c>
      <c r="C25" s="12" t="s">
        <v>135</v>
      </c>
    </row>
    <row r="26" spans="1:3" x14ac:dyDescent="0.25">
      <c r="A26" s="7">
        <v>46473</v>
      </c>
      <c r="B26" s="12" t="s">
        <v>142</v>
      </c>
      <c r="C26" s="12" t="s">
        <v>143</v>
      </c>
    </row>
    <row r="27" spans="1:3" x14ac:dyDescent="0.25">
      <c r="A27" s="7">
        <v>46474</v>
      </c>
      <c r="B27" s="12" t="s">
        <v>144</v>
      </c>
      <c r="C27" s="12" t="s">
        <v>145</v>
      </c>
    </row>
    <row r="28" spans="1:3" x14ac:dyDescent="0.25">
      <c r="A28" s="7">
        <v>46475</v>
      </c>
      <c r="B28" s="12" t="s">
        <v>146</v>
      </c>
      <c r="C28" s="12" t="s">
        <v>135</v>
      </c>
    </row>
    <row r="29" spans="1:3" x14ac:dyDescent="0.25">
      <c r="A29" s="7">
        <v>46502</v>
      </c>
      <c r="B29" s="12" t="s">
        <v>147</v>
      </c>
      <c r="C29" s="12" t="s">
        <v>165</v>
      </c>
    </row>
    <row r="30" spans="1:3" x14ac:dyDescent="0.25">
      <c r="A30" s="7">
        <v>46503</v>
      </c>
      <c r="B30" s="12" t="s">
        <v>166</v>
      </c>
      <c r="C30" s="12" t="s">
        <v>167</v>
      </c>
    </row>
    <row r="31" spans="1:3" x14ac:dyDescent="0.25">
      <c r="A31" s="7">
        <v>46510</v>
      </c>
      <c r="B31" s="12" t="s">
        <v>150</v>
      </c>
      <c r="C31" s="12" t="s">
        <v>151</v>
      </c>
    </row>
    <row r="32" spans="1:3" x14ac:dyDescent="0.25">
      <c r="A32" s="7">
        <v>46538</v>
      </c>
      <c r="B32" s="12" t="s">
        <v>168</v>
      </c>
      <c r="C32" s="12" t="s">
        <v>169</v>
      </c>
    </row>
    <row r="33" spans="1:3" x14ac:dyDescent="0.25">
      <c r="A33" s="7">
        <v>46545</v>
      </c>
      <c r="B33" s="12" t="s">
        <v>170</v>
      </c>
      <c r="C33" s="12" t="s">
        <v>138</v>
      </c>
    </row>
    <row r="34" spans="1:3" x14ac:dyDescent="0.25">
      <c r="A34" s="7">
        <v>46552</v>
      </c>
      <c r="B34" s="12" t="s">
        <v>154</v>
      </c>
      <c r="C34" s="12" t="s">
        <v>155</v>
      </c>
    </row>
    <row r="35" spans="1:3" x14ac:dyDescent="0.25">
      <c r="A35" s="7">
        <v>46601</v>
      </c>
      <c r="B35" s="12" t="s">
        <v>156</v>
      </c>
      <c r="C35" s="12" t="s">
        <v>157</v>
      </c>
    </row>
    <row r="36" spans="1:3" x14ac:dyDescent="0.25">
      <c r="A36" s="7">
        <v>46664</v>
      </c>
      <c r="B36" s="12" t="s">
        <v>160</v>
      </c>
      <c r="C36" s="12" t="s">
        <v>161</v>
      </c>
    </row>
    <row r="37" spans="1:3" x14ac:dyDescent="0.25">
      <c r="A37" s="7">
        <v>46746</v>
      </c>
      <c r="B37" s="12" t="s">
        <v>162</v>
      </c>
      <c r="C37" s="12" t="s">
        <v>135</v>
      </c>
    </row>
    <row r="38" spans="1:3" x14ac:dyDescent="0.25">
      <c r="A38" s="7">
        <v>46747</v>
      </c>
      <c r="B38" s="12" t="s">
        <v>163</v>
      </c>
      <c r="C38" s="12" t="s">
        <v>145</v>
      </c>
    </row>
    <row r="39" spans="1:3" x14ac:dyDescent="0.25">
      <c r="A39" s="7">
        <v>46748</v>
      </c>
      <c r="B39" s="12" t="s">
        <v>171</v>
      </c>
      <c r="C39" s="12" t="s">
        <v>135</v>
      </c>
    </row>
    <row r="40" spans="1:3" x14ac:dyDescent="0.25">
      <c r="A40" s="7">
        <v>46749</v>
      </c>
      <c r="B40" s="12" t="s">
        <v>164</v>
      </c>
      <c r="C40" s="12" t="s">
        <v>135</v>
      </c>
    </row>
    <row r="43" spans="1:3" x14ac:dyDescent="0.25">
      <c r="A43" t="s">
        <v>172</v>
      </c>
    </row>
    <row r="44" spans="1:3" x14ac:dyDescent="0.25">
      <c r="A44" t="s">
        <v>173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
  <sheetViews>
    <sheetView workbookViewId="0"/>
  </sheetViews>
  <sheetFormatPr defaultRowHeight="15" x14ac:dyDescent="0.25"/>
  <cols>
    <col min="1" max="3" width="14" customWidth="1"/>
    <col min="6" max="6" width="14" customWidth="1"/>
  </cols>
  <sheetData>
    <row r="1" spans="1:6" x14ac:dyDescent="0.25">
      <c r="A1" s="5" t="s">
        <v>174</v>
      </c>
      <c r="B1" s="5" t="s">
        <v>175</v>
      </c>
      <c r="C1" s="5" t="s">
        <v>176</v>
      </c>
      <c r="D1" s="5" t="s">
        <v>177</v>
      </c>
      <c r="E1" s="5" t="s">
        <v>178</v>
      </c>
      <c r="F1" s="5" t="s">
        <v>179</v>
      </c>
    </row>
    <row r="2" spans="1:6" x14ac:dyDescent="0.25">
      <c r="A2" s="7">
        <v>46113</v>
      </c>
      <c r="B2" s="7">
        <v>46203</v>
      </c>
      <c r="C2" s="12">
        <v>10.96</v>
      </c>
      <c r="D2" s="12">
        <v>365</v>
      </c>
      <c r="E2" s="12" t="s">
        <v>180</v>
      </c>
      <c r="F2" s="12" t="s">
        <v>181</v>
      </c>
    </row>
    <row r="3" spans="1:6" x14ac:dyDescent="0.25">
      <c r="A3" s="7">
        <v>46204</v>
      </c>
      <c r="B3" s="7">
        <v>46295</v>
      </c>
      <c r="C3" s="12">
        <v>11.43</v>
      </c>
      <c r="D3" s="12">
        <v>365</v>
      </c>
      <c r="E3" s="12" t="s">
        <v>180</v>
      </c>
      <c r="F3" s="12" t="s">
        <v>181</v>
      </c>
    </row>
    <row r="4" spans="1:6" x14ac:dyDescent="0.25">
      <c r="A4" s="7">
        <v>46296</v>
      </c>
      <c r="B4" s="7">
        <v>46387</v>
      </c>
      <c r="C4" s="12">
        <v>11.51</v>
      </c>
      <c r="D4" s="12">
        <v>365</v>
      </c>
      <c r="E4" s="12" t="s">
        <v>180</v>
      </c>
      <c r="F4" s="12" t="s">
        <v>182</v>
      </c>
    </row>
    <row r="7" spans="1:6" x14ac:dyDescent="0.25">
      <c r="A7" t="s">
        <v>183</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184</v>
      </c>
      <c r="B1" s="5"/>
    </row>
    <row r="2" spans="1:4" x14ac:dyDescent="0.25">
      <c r="A2" t="s">
        <v>185</v>
      </c>
      <c r="B2" s="13">
        <v>46244</v>
      </c>
      <c r="C2" t="s">
        <v>186</v>
      </c>
      <c r="D2" s="9">
        <f>IF(Summary!$B$2="","",IF(ISNUMBER(Summary!$B$2),INT(Summary!$B$2),Summary!$B$2))</f>
        <v>46244</v>
      </c>
    </row>
    <row r="3" spans="1:4" x14ac:dyDescent="0.25">
      <c r="A3" t="s">
        <v>187</v>
      </c>
      <c r="B3" s="13"/>
      <c r="C3" t="s">
        <v>188</v>
      </c>
      <c r="D3" s="9" t="str">
        <f>IF(Summary!$B$3="","",IF(ISNUMBER(Summary!$B$3),INT(Summary!$B$3),Summary!$B$3))</f>
        <v/>
      </c>
    </row>
    <row r="4" spans="1:4" x14ac:dyDescent="0.25">
      <c r="A4" t="s">
        <v>189</v>
      </c>
      <c r="B4" s="14" t="s">
        <v>190</v>
      </c>
    </row>
    <row r="5" spans="1:4" x14ac:dyDescent="0.25">
      <c r="A5" t="s">
        <v>191</v>
      </c>
      <c r="B5" s="14" t="s">
        <v>190</v>
      </c>
    </row>
    <row r="6" spans="1:4" x14ac:dyDescent="0.25">
      <c r="A6" t="s">
        <v>192</v>
      </c>
      <c r="B6" s="13">
        <v>46630</v>
      </c>
    </row>
    <row r="7" spans="1:4" x14ac:dyDescent="0.25">
      <c r="A7" t="s">
        <v>193</v>
      </c>
      <c r="B7" s="9">
        <f>_xlfn.MAXIFS(tblGic[to],tblGic[basis],"known")</f>
        <v>46387</v>
      </c>
    </row>
    <row r="9" spans="1:4" x14ac:dyDescent="0.25">
      <c r="A9" s="5" t="s">
        <v>194</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195</v>
      </c>
      <c r="B16" s="10">
        <f>SUM(tblLines[Exposed])</f>
        <v>3</v>
      </c>
    </row>
    <row r="17" spans="1:2" x14ac:dyDescent="0.25">
      <c r="A17" t="s">
        <v>196</v>
      </c>
      <c r="B17" s="11">
        <f>ROUND(SUM(tblLines[Shortfall_r]),2)</f>
        <v>780</v>
      </c>
    </row>
    <row r="18" spans="1:2" x14ac:dyDescent="0.25">
      <c r="A18" t="s">
        <v>197</v>
      </c>
      <c r="B18" s="11">
        <f>IF(SUM(tblLines[Past_gic_table])&gt;0,"Not assessed",ROUND(SUM(tblLines[NEC_r]),2))</f>
        <v>8.07</v>
      </c>
    </row>
    <row r="19" spans="1:2" x14ac:dyDescent="0.25">
      <c r="A19" t="s">
        <v>198</v>
      </c>
      <c r="B19" s="11">
        <f>IF(SUM(tblLines[Past_gic_table])&gt;0,"Not assessed",ROUND(SUM(tblLines[SGC_low]),2))</f>
        <v>788.07</v>
      </c>
    </row>
    <row r="20" spans="1:2" x14ac:dyDescent="0.25">
      <c r="A20" t="s">
        <v>199</v>
      </c>
      <c r="B20" s="11">
        <f>IF(SUM(tblLines[Past_gic_table])&gt;0,"Not assessed",ROUND(SUM(tblLines[SGC_high]),2))</f>
        <v>1260.92</v>
      </c>
    </row>
    <row r="21" spans="1:2" x14ac:dyDescent="0.25">
      <c r="A21" t="s">
        <v>200</v>
      </c>
      <c r="B21" s="10">
        <f>SUMPRODUCT(--(tblLines[Unassessable_between]&lt;&gt;""))</f>
        <v>0</v>
      </c>
    </row>
    <row r="22" spans="1:2" x14ac:dyDescent="0.25">
      <c r="A22" t="s">
        <v>201</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202</v>
      </c>
      <c r="B1" s="5" t="s">
        <v>203</v>
      </c>
      <c r="C1" s="5" t="s">
        <v>204</v>
      </c>
      <c r="D1" s="5" t="s">
        <v>205</v>
      </c>
    </row>
    <row r="2" spans="1:4" x14ac:dyDescent="0.25">
      <c r="A2" t="s">
        <v>206</v>
      </c>
      <c r="B2" s="10" t="str">
        <f>IF(C2=0,"PASS","BLOCKED")</f>
        <v>PASS</v>
      </c>
      <c r="C2" s="10">
        <f>SUMPRODUCT(--(tblLines[Row_problem]&lt;&gt;""))</f>
        <v>0</v>
      </c>
      <c r="D2" s="10" t="str">
        <f t="array" ref="D2">IF(C2=0,"",INDEX(tblLines[employee_id],SUMPRODUCT(MAX((tblLines[Row_problem]&lt;&gt;"")*(ROW(tblLines[employee_id])-1)))))</f>
        <v/>
      </c>
    </row>
    <row r="3" spans="1:4" x14ac:dyDescent="0.25">
      <c r="A3" t="s">
        <v>207</v>
      </c>
      <c r="B3" s="10" t="str">
        <f>IF(C3=0,"PASS","BLOCKED")</f>
        <v>PASS</v>
      </c>
      <c r="C3" s="10">
        <f>SUM(tblLines[Guard])</f>
        <v>0</v>
      </c>
      <c r="D3" s="10" t="str">
        <f t="array" ref="D3">IF(C3=0,"",INDEX(tblLines[employee_id],SUMPRODUCT(MAX((tblLines[Guard]=1)*(ROW(tblLines[employee_id])-1)))))</f>
        <v/>
      </c>
    </row>
    <row r="4" spans="1:4" x14ac:dyDescent="0.25">
      <c r="A4" t="s">
        <v>208</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209</v>
      </c>
      <c r="B5" s="10" t="str">
        <f>IF(C5=0,"PASS","REVIEW")</f>
        <v>REVIEW</v>
      </c>
      <c r="C5" s="10">
        <f>SUM(tblLines[Exposed])</f>
        <v>3</v>
      </c>
      <c r="D5" s="10" t="str">
        <f t="array" ref="D5">IF(C5=0,"",INDEX(tblLines[employee_id],SUMPRODUCT(MAX((tblLines[Exposed]=1)*(ROW(tblLines[employee_id])-1)))))</f>
        <v>EMP001</v>
      </c>
    </row>
    <row r="6" spans="1:4" x14ac:dyDescent="0.25">
      <c r="A6" t="s">
        <v>210</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211</v>
      </c>
      <c r="B7" s="10" t="str">
        <f>IF(OR(Summary!B22="NO",Summary!$B$5="Y"),"PASS","REVIEW")</f>
        <v>PASS</v>
      </c>
      <c r="C7" s="10" t="str">
        <f>Summary!B22</f>
        <v>NO</v>
      </c>
      <c r="D7" s="10"/>
    </row>
    <row r="8" spans="1:4" x14ac:dyDescent="0.25">
      <c r="A8" t="s">
        <v>212</v>
      </c>
      <c r="B8" s="10" t="str">
        <f>IF(C8=0,"PASS","NOTE")</f>
        <v>PASS</v>
      </c>
      <c r="C8" s="10">
        <f>SUM(tblLines[Past_horizon])</f>
        <v>0</v>
      </c>
      <c r="D8" s="10" t="str">
        <f t="array" ref="D8">IF(C8=0,"",INDEX(tblLines[employee_id],SUMPRODUCT(MAX((tblLines[Past_horizon]=1)*(ROW(tblLines[employee_id])-1)))))</f>
        <v/>
      </c>
    </row>
    <row r="9" spans="1:4" x14ac:dyDescent="0.25">
      <c r="A9" t="s">
        <v>213</v>
      </c>
      <c r="B9" s="10" t="str">
        <f>IF(C9=0,"PASS","NOTE")</f>
        <v>PASS</v>
      </c>
      <c r="C9" s="10">
        <f>SUM(tblLines[Past_gic_table])</f>
        <v>0</v>
      </c>
      <c r="D9" s="10" t="str">
        <f t="array" ref="D9">IF(C9=0,"",INDEX(tblLines[employee_id],SUMPRODUCT(MAX((tblLines[Past_gic_table]=1)*(ROW(tblLines[employee_id])-1)))))</f>
        <v/>
      </c>
    </row>
    <row r="10" spans="1:4" x14ac:dyDescent="0.25">
      <c r="A10" t="s">
        <v>214</v>
      </c>
      <c r="B10" s="10" t="str">
        <f>IF(C10=0,"PASS","NOTE")</f>
        <v>PASS</v>
      </c>
      <c r="C10" s="10">
        <f>SUM(tblLines[Duplicate])</f>
        <v>0</v>
      </c>
      <c r="D10" s="10" t="str">
        <f t="array" ref="D10">IF(C10=0,"",INDEX(tblLines[employee_id],SUMPRODUCT(MAX((tblLines[Duplicate]=1)*(ROW(tblLines[employee_id])-1)))))</f>
        <v/>
      </c>
    </row>
    <row r="11" spans="1:4" x14ac:dyDescent="0.25">
      <c r="A11" t="s">
        <v>215</v>
      </c>
      <c r="B11" s="10" t="str">
        <f>IF(C11=0,"PASS","NOTE")</f>
        <v>PASS</v>
      </c>
      <c r="C11" s="10">
        <f>COUNTIF(tblLines[Branch],"NIL")</f>
        <v>0</v>
      </c>
      <c r="D11" s="10" t="str">
        <f t="array" ref="D11">IF(C11=0,"",INDEX(tblLines[employee_id],SUMPRODUCT(MAX((tblLines[Branch]="NIL")*(ROW(tblLines[employee_id])-1)))))</f>
        <v/>
      </c>
    </row>
    <row r="12" spans="1:4" x14ac:dyDescent="0.25">
      <c r="A12" t="s">
        <v>216</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217</v>
      </c>
      <c r="B13" s="10" t="str">
        <f>IF(C13=0,"PASS","REVIEW")</f>
        <v>REVIEW</v>
      </c>
      <c r="C13" s="10">
        <f>SUM(tblLines[Sample_row])</f>
        <v>10</v>
      </c>
      <c r="D13" s="10" t="str">
        <f t="array" ref="D13">IF(C13=0,"",INDEX(tblLines[employee_id],SUMPRODUCT(MAX((tblLines[Sample_row]=1)*(ROW(tblLines[employee_id])-1)))))</f>
        <v>EMP005</v>
      </c>
    </row>
    <row r="14" spans="1:4" x14ac:dyDescent="0.25">
      <c r="A14" t="s">
        <v>218</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219</v>
      </c>
    </row>
    <row r="19" spans="1:1" ht="30" x14ac:dyDescent="0.25">
      <c r="A19" s="16" t="s">
        <v>220</v>
      </c>
    </row>
    <row r="20" spans="1:1" ht="45" x14ac:dyDescent="0.25">
      <c r="A20" s="16" t="s">
        <v>221</v>
      </c>
    </row>
    <row r="21" spans="1:1" ht="60" x14ac:dyDescent="0.25">
      <c r="A21" s="16" t="s">
        <v>222</v>
      </c>
    </row>
    <row r="22" spans="1:1" ht="30" x14ac:dyDescent="0.25">
      <c r="A22" s="16" t="s">
        <v>223</v>
      </c>
    </row>
    <row r="23" spans="1:1" ht="45" x14ac:dyDescent="0.25">
      <c r="A23" s="16" t="s">
        <v>224</v>
      </c>
    </row>
    <row r="24" spans="1:1" ht="45" x14ac:dyDescent="0.25">
      <c r="A24" s="16" t="s">
        <v>225</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226</v>
      </c>
      <c r="B1" s="5" t="s">
        <v>227</v>
      </c>
    </row>
    <row r="2" spans="1:2" x14ac:dyDescent="0.25">
      <c r="A2" t="s">
        <v>228</v>
      </c>
      <c r="B2" t="s">
        <v>229</v>
      </c>
    </row>
    <row r="3" spans="1:2" x14ac:dyDescent="0.25">
      <c r="A3" t="s">
        <v>230</v>
      </c>
      <c r="B3" t="s">
        <v>243</v>
      </c>
    </row>
    <row r="4" spans="1:2" x14ac:dyDescent="0.25">
      <c r="A4" t="s">
        <v>231</v>
      </c>
      <c r="B4" t="s">
        <v>232</v>
      </c>
    </row>
    <row r="5" spans="1:2" x14ac:dyDescent="0.25">
      <c r="A5" t="s">
        <v>233</v>
      </c>
      <c r="B5" t="s">
        <v>234</v>
      </c>
    </row>
    <row r="6" spans="1:2" x14ac:dyDescent="0.25">
      <c r="A6" t="s">
        <v>235</v>
      </c>
      <c r="B6" t="s">
        <v>236</v>
      </c>
    </row>
    <row r="7" spans="1:2" x14ac:dyDescent="0.25">
      <c r="A7" t="s">
        <v>237</v>
      </c>
      <c r="B7" t="s">
        <v>238</v>
      </c>
    </row>
    <row r="8" spans="1:2" x14ac:dyDescent="0.25">
      <c r="A8" t="s">
        <v>239</v>
      </c>
      <c r="B8" t="s">
        <v>240</v>
      </c>
    </row>
    <row r="9" spans="1:2" x14ac:dyDescent="0.25">
      <c r="A9" t="s">
        <v>241</v>
      </c>
      <c r="B9" t="s">
        <v>242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2026-10-19T13:18:41Z</dcterms:created>
  <dcterms:modified xsi:type="dcterms:W3CDTF">2026-10-19T13:19:32Z</dcterms:modified>
</cp:coreProperties>
</file>