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B02CA20E-20D9-4C1C-95C7-226F380FE415}"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BK11" i="2"/>
  <c r="BH11" i="2"/>
  <c r="U11" i="2"/>
  <c r="T11" i="2"/>
  <c r="R11" i="2"/>
  <c r="W11" i="2" s="1"/>
  <c r="Q11" i="2"/>
  <c r="P11" i="2"/>
  <c r="O11" i="2"/>
  <c r="N11" i="2"/>
  <c r="M11" i="2"/>
  <c r="L11" i="2"/>
  <c r="BM10" i="2"/>
  <c r="BL10" i="2" a="1"/>
  <c r="BL10" i="2" s="1"/>
  <c r="BK10" i="2"/>
  <c r="U10" i="2"/>
  <c r="T10" i="2"/>
  <c r="R10" i="2"/>
  <c r="Q10" i="2"/>
  <c r="P10" i="2"/>
  <c r="O10" i="2"/>
  <c r="N10" i="2"/>
  <c r="M10" i="2"/>
  <c r="L10" i="2"/>
  <c r="Z10" i="2" s="1"/>
  <c r="BL9" i="2" a="1"/>
  <c r="BL9" i="2" s="1"/>
  <c r="U9" i="2"/>
  <c r="T9" i="2"/>
  <c r="R9" i="2"/>
  <c r="W9" i="2" s="1"/>
  <c r="Q9" i="2"/>
  <c r="P9" i="2"/>
  <c r="O9" i="2"/>
  <c r="N9" i="2"/>
  <c r="M9" i="2"/>
  <c r="L9" i="2"/>
  <c r="BM8" i="2"/>
  <c r="BL8" i="2" a="1"/>
  <c r="BL8" i="2" s="1"/>
  <c r="BK8" i="2"/>
  <c r="U8" i="2"/>
  <c r="BH8" i="2" s="1"/>
  <c r="T8" i="2"/>
  <c r="R8" i="2"/>
  <c r="W8" i="2" s="1"/>
  <c r="Q8" i="2"/>
  <c r="P8" i="2"/>
  <c r="O8" i="2"/>
  <c r="N8" i="2"/>
  <c r="M8" i="2"/>
  <c r="L8" i="2"/>
  <c r="BL7" i="2" a="1"/>
  <c r="BL7" i="2" s="1"/>
  <c r="U7" i="2"/>
  <c r="T7" i="2"/>
  <c r="S7" i="2"/>
  <c r="R7" i="2"/>
  <c r="W7" i="2" s="1"/>
  <c r="Q7" i="2"/>
  <c r="V7" i="2" s="1"/>
  <c r="P7" i="2"/>
  <c r="O7" i="2"/>
  <c r="N7" i="2"/>
  <c r="M7" i="2"/>
  <c r="L7" i="2"/>
  <c r="BL6" i="2" a="1"/>
  <c r="BL6" i="2" s="1"/>
  <c r="BK6" i="2"/>
  <c r="U6" i="2"/>
  <c r="T6" i="2"/>
  <c r="R6" i="2"/>
  <c r="W6" i="2" s="1"/>
  <c r="Q6" i="2"/>
  <c r="V6" i="2" s="1"/>
  <c r="P6" i="2"/>
  <c r="BH6" i="2" s="1"/>
  <c r="O6" i="2"/>
  <c r="N6" i="2"/>
  <c r="M6" i="2"/>
  <c r="L6" i="2"/>
  <c r="BL5" i="2" a="1"/>
  <c r="BL5" i="2" s="1"/>
  <c r="U5" i="2"/>
  <c r="T5" i="2"/>
  <c r="R5" i="2"/>
  <c r="W5" i="2" s="1"/>
  <c r="Q5" i="2"/>
  <c r="P5" i="2"/>
  <c r="O5" i="2"/>
  <c r="N5" i="2"/>
  <c r="M5" i="2"/>
  <c r="BK5" i="2" s="1"/>
  <c r="L5" i="2"/>
  <c r="BL4" i="2" a="1"/>
  <c r="BL4" i="2" s="1"/>
  <c r="U4" i="2"/>
  <c r="T4" i="2"/>
  <c r="S4" i="2"/>
  <c r="R4" i="2"/>
  <c r="W4" i="2" s="1"/>
  <c r="Q4" i="2"/>
  <c r="P4" i="2"/>
  <c r="BH4" i="2" s="1"/>
  <c r="O4" i="2"/>
  <c r="N4" i="2"/>
  <c r="M4" i="2"/>
  <c r="L4" i="2"/>
  <c r="BL3" i="2" a="1"/>
  <c r="BL3" i="2" s="1"/>
  <c r="BH3" i="2"/>
  <c r="U3" i="2"/>
  <c r="T3" i="2"/>
  <c r="R3" i="2"/>
  <c r="W3" i="2" s="1"/>
  <c r="Q3" i="2"/>
  <c r="P3" i="2"/>
  <c r="O3" i="2"/>
  <c r="N3" i="2"/>
  <c r="M3" i="2"/>
  <c r="L3" i="2"/>
  <c r="BL2" i="2" a="1"/>
  <c r="BL2" i="2" s="1"/>
  <c r="C14" i="7" s="1"/>
  <c r="U2" i="2"/>
  <c r="T2" i="2"/>
  <c r="R2" i="2"/>
  <c r="W2" i="2" s="1"/>
  <c r="Q2" i="2"/>
  <c r="V2" i="2" s="1"/>
  <c r="P2" i="2"/>
  <c r="BH2" i="2" s="1"/>
  <c r="O2" i="2"/>
  <c r="N2" i="2"/>
  <c r="M2" i="2"/>
  <c r="L2" i="2"/>
  <c r="BK2" i="2" s="1"/>
  <c r="V11" i="2" l="1"/>
  <c r="V10" i="2"/>
  <c r="V5" i="2"/>
  <c r="V9" i="2"/>
  <c r="BH9" i="2"/>
  <c r="V8" i="2"/>
  <c r="C3" i="7"/>
  <c r="BK7" i="2"/>
  <c r="V4" i="2"/>
  <c r="V3" i="2"/>
  <c r="W10" i="2"/>
  <c r="S10" i="2"/>
  <c r="Z7" i="2"/>
  <c r="BM7" i="2"/>
  <c r="BK3" i="2"/>
  <c r="BM3" i="2"/>
  <c r="C12" i="7"/>
  <c r="B12" i="7"/>
  <c r="AB4" i="2"/>
  <c r="AD4" i="2" s="1"/>
  <c r="AA5" i="2"/>
  <c r="AB5" i="2"/>
  <c r="AD5" i="2" s="1"/>
  <c r="AB7" i="2"/>
  <c r="AD7" i="2" s="1"/>
  <c r="AA7" i="2"/>
  <c r="AB11" i="2"/>
  <c r="AD11" i="2" s="1"/>
  <c r="AA11" i="2"/>
  <c r="AA6" i="2"/>
  <c r="AB8" i="2"/>
  <c r="AD8" i="2" s="1"/>
  <c r="AA8" i="2"/>
  <c r="AB6" i="2"/>
  <c r="AD6" i="2" s="1"/>
  <c r="AA2" i="2"/>
  <c r="AA10" i="2"/>
  <c r="AB9" i="2"/>
  <c r="AD9" i="2" s="1"/>
  <c r="AA9" i="2"/>
  <c r="AB2" i="2"/>
  <c r="AD2" i="2" s="1"/>
  <c r="AA3" i="2"/>
  <c r="AB3" i="2"/>
  <c r="AD3" i="2" s="1"/>
  <c r="AB10" i="2"/>
  <c r="AD10" i="2" s="1"/>
  <c r="AA4" i="2"/>
  <c r="Y11" i="2"/>
  <c r="X11" i="2"/>
  <c r="BM11" i="2"/>
  <c r="S11" i="2"/>
  <c r="Z11" i="2"/>
  <c r="X10" i="2"/>
  <c r="BH10" i="2"/>
  <c r="Y10" i="2"/>
  <c r="X9" i="2"/>
  <c r="Y9" i="2"/>
  <c r="S9" i="2"/>
  <c r="BM9" i="2"/>
  <c r="BK9" i="2"/>
  <c r="Z9" i="2"/>
  <c r="Y8" i="2"/>
  <c r="AL8" i="2"/>
  <c r="X8" i="2"/>
  <c r="S8" i="2"/>
  <c r="Z8" i="2"/>
  <c r="BH7" i="2"/>
  <c r="Y7" i="2"/>
  <c r="X7" i="2"/>
  <c r="Y6" i="2"/>
  <c r="X6" i="2"/>
  <c r="S6" i="2"/>
  <c r="Z6" i="2"/>
  <c r="BM6" i="2"/>
  <c r="BH5" i="2"/>
  <c r="X5" i="2"/>
  <c r="Y5" i="2"/>
  <c r="BM5" i="2"/>
  <c r="Z5" i="2"/>
  <c r="S5" i="2"/>
  <c r="X4" i="2"/>
  <c r="Y4" i="2"/>
  <c r="BM4" i="2"/>
  <c r="Z4" i="2"/>
  <c r="BK4" i="2"/>
  <c r="Y3" i="2"/>
  <c r="X3" i="2"/>
  <c r="Z3" i="2"/>
  <c r="S3" i="2"/>
  <c r="D14" i="7" a="1"/>
  <c r="D14" i="7" s="1"/>
  <c r="B14" i="7"/>
  <c r="X2" i="2"/>
  <c r="Y2" i="2"/>
  <c r="BM2" i="2"/>
  <c r="Z2" i="2"/>
  <c r="S2" i="2"/>
  <c r="C10" i="7" l="1"/>
  <c r="C4" i="7"/>
  <c r="D3" i="7" a="1"/>
  <c r="D3" i="7" s="1"/>
  <c r="B3" i="7"/>
  <c r="AC5" i="2"/>
  <c r="BI5" i="2"/>
  <c r="AC7" i="2"/>
  <c r="BI7" i="2"/>
  <c r="AC11" i="2"/>
  <c r="BI11" i="2"/>
  <c r="AC6" i="2"/>
  <c r="BI6" i="2"/>
  <c r="AC8" i="2"/>
  <c r="AQ8" i="2" s="1"/>
  <c r="BI8" i="2"/>
  <c r="AC2" i="2"/>
  <c r="BI2" i="2"/>
  <c r="BI10" i="2"/>
  <c r="AC10" i="2"/>
  <c r="AC9" i="2"/>
  <c r="BI9" i="2"/>
  <c r="AC3" i="2"/>
  <c r="BI3" i="2"/>
  <c r="AC4" i="2"/>
  <c r="BI4" i="2"/>
  <c r="AE11" i="2"/>
  <c r="AE10" i="2"/>
  <c r="AE9" i="2"/>
  <c r="AM8" i="2"/>
  <c r="BJ8" i="2" s="1"/>
  <c r="AN8" i="2"/>
  <c r="AO8" i="2"/>
  <c r="AP8" i="2"/>
  <c r="AE8" i="2"/>
  <c r="AH8" i="2"/>
  <c r="AI8" i="2"/>
  <c r="AE7" i="2"/>
  <c r="AE6" i="2"/>
  <c r="AE5" i="2"/>
  <c r="AE4" i="2"/>
  <c r="AE3" i="2"/>
  <c r="AE2" i="2"/>
  <c r="AF10" i="2" s="1" a="1"/>
  <c r="AF10" i="2" s="1"/>
  <c r="C13" i="7"/>
  <c r="C2" i="7"/>
  <c r="AF8" i="2" a="1"/>
  <c r="AF8" i="2" s="1"/>
  <c r="AG8" i="2" a="1"/>
  <c r="AG8" i="2" s="1"/>
  <c r="D10" i="7" l="1" a="1"/>
  <c r="D10" i="7" s="1"/>
  <c r="B10" i="7"/>
  <c r="D4" i="7" a="1"/>
  <c r="D4" i="7" s="1"/>
  <c r="B4" i="7"/>
  <c r="AR8" i="2"/>
  <c r="AS8" i="2"/>
  <c r="AT8" i="2"/>
  <c r="AU8" i="2"/>
  <c r="AV8" i="2"/>
  <c r="AW8" i="2"/>
  <c r="AX8" i="2"/>
  <c r="AY8" i="2"/>
  <c r="AZ8" i="2"/>
  <c r="BA8" i="2"/>
  <c r="BB8" i="2"/>
  <c r="BC8" i="2"/>
  <c r="BD8" i="2"/>
  <c r="BE8" i="2"/>
  <c r="BF8" i="2"/>
  <c r="BG8" i="2"/>
  <c r="AJ8" i="2"/>
  <c r="AK8" i="2"/>
  <c r="AG3" i="2" a="1"/>
  <c r="AG3" i="2" s="1"/>
  <c r="AF3" i="2" a="1"/>
  <c r="AF3" i="2" s="1"/>
  <c r="AF5" i="2" a="1"/>
  <c r="AF5" i="2" s="1"/>
  <c r="AF9" i="2" a="1"/>
  <c r="AF9" i="2" s="1"/>
  <c r="AG9" i="2" a="1"/>
  <c r="AG9" i="2" s="1"/>
  <c r="AG5" i="2" a="1"/>
  <c r="AG5" i="2" s="1"/>
  <c r="B13" i="7"/>
  <c r="D13" i="7" a="1"/>
  <c r="D13" i="7" s="1"/>
  <c r="B2" i="7"/>
  <c r="D2" i="7" a="1"/>
  <c r="D2" i="7" s="1"/>
  <c r="AG11" i="2" a="1"/>
  <c r="AG11" i="2" s="1"/>
  <c r="AF11" i="2" a="1"/>
  <c r="AF11" i="2" s="1"/>
  <c r="AG10" i="2" a="1"/>
  <c r="AG10" i="2" s="1"/>
  <c r="AG4" i="2" a="1"/>
  <c r="AG4" i="2" s="1"/>
  <c r="AG7" i="2" a="1"/>
  <c r="AG7" i="2" s="1"/>
  <c r="AF7" i="2" a="1"/>
  <c r="AF7" i="2" s="1"/>
  <c r="AG6" i="2" a="1"/>
  <c r="AG6" i="2" s="1"/>
  <c r="AF6" i="2" a="1"/>
  <c r="AF6" i="2" s="1"/>
  <c r="AF4" i="2" a="1"/>
  <c r="AF4" i="2" s="1"/>
  <c r="AF2" i="2" a="1"/>
  <c r="AF2" i="2" s="1"/>
  <c r="AG2" i="2" a="1"/>
  <c r="AG2" i="2" s="1"/>
  <c r="AH10" i="2"/>
  <c r="AI10" i="2"/>
  <c r="AI3" i="2" l="1"/>
  <c r="AH3" i="2"/>
  <c r="AI5" i="2"/>
  <c r="AH5" i="2"/>
  <c r="AI9" i="2"/>
  <c r="AH9" i="2"/>
  <c r="AI11" i="2"/>
  <c r="AH11" i="2"/>
  <c r="AI7" i="2"/>
  <c r="AH7" i="2"/>
  <c r="AI6" i="2"/>
  <c r="AH6" i="2"/>
  <c r="AI4" i="2"/>
  <c r="AH4" i="2"/>
  <c r="AI2" i="2"/>
  <c r="AH2" i="2"/>
  <c r="AK10" i="2"/>
  <c r="AJ10" i="2"/>
  <c r="AL10" i="2" s="1"/>
  <c r="AK3" i="2" l="1"/>
  <c r="AJ3" i="2"/>
  <c r="AL3" i="2"/>
  <c r="AK5" i="2"/>
  <c r="AJ5" i="2"/>
  <c r="AL5" i="2"/>
  <c r="AK9" i="2"/>
  <c r="AJ9" i="2"/>
  <c r="AL9" i="2"/>
  <c r="AK11" i="2"/>
  <c r="AJ11" i="2"/>
  <c r="AL11" i="2" s="1"/>
  <c r="AK7" i="2"/>
  <c r="AJ7" i="2"/>
  <c r="AL7" i="2"/>
  <c r="AK6" i="2"/>
  <c r="AJ6" i="2"/>
  <c r="AL6" i="2"/>
  <c r="AK4" i="2"/>
  <c r="AJ4" i="2"/>
  <c r="AL4" i="2"/>
  <c r="AK2" i="2"/>
  <c r="AJ2" i="2"/>
  <c r="AL2" i="2" s="1"/>
  <c r="AQ10" i="2"/>
  <c r="AP10" i="2"/>
  <c r="AO10" i="2"/>
  <c r="AN10" i="2"/>
  <c r="AM10" i="2"/>
  <c r="BJ10" i="2" s="1"/>
  <c r="C8" i="7" l="1"/>
  <c r="AQ3" i="2"/>
  <c r="AP3" i="2"/>
  <c r="AO3" i="2"/>
  <c r="AN3" i="2"/>
  <c r="AM3" i="2"/>
  <c r="BJ3" i="2" s="1"/>
  <c r="AQ5" i="2"/>
  <c r="AP5" i="2"/>
  <c r="AO5" i="2"/>
  <c r="AN5" i="2"/>
  <c r="AM5" i="2"/>
  <c r="BJ5" i="2" s="1"/>
  <c r="AQ9" i="2"/>
  <c r="AP9" i="2"/>
  <c r="AO9" i="2"/>
  <c r="AN9" i="2"/>
  <c r="AM9" i="2"/>
  <c r="BJ9" i="2" s="1"/>
  <c r="AM11" i="2"/>
  <c r="BJ11" i="2" s="1"/>
  <c r="AN11" i="2"/>
  <c r="AO11" i="2"/>
  <c r="AP11" i="2"/>
  <c r="AQ11" i="2"/>
  <c r="AQ7" i="2"/>
  <c r="AP7" i="2"/>
  <c r="AO7" i="2"/>
  <c r="AN7" i="2"/>
  <c r="AM7" i="2"/>
  <c r="BJ7" i="2" s="1"/>
  <c r="AN6" i="2"/>
  <c r="AP6" i="2"/>
  <c r="AM6" i="2"/>
  <c r="BJ6" i="2" s="1"/>
  <c r="AO6" i="2"/>
  <c r="AQ6" i="2"/>
  <c r="AQ4" i="2"/>
  <c r="AP4" i="2"/>
  <c r="AO4" i="2"/>
  <c r="AN4" i="2"/>
  <c r="AM4" i="2"/>
  <c r="BJ4" i="2" s="1"/>
  <c r="C11" i="7"/>
  <c r="AQ2" i="2"/>
  <c r="AP2" i="2"/>
  <c r="AO2" i="2"/>
  <c r="AN2" i="2"/>
  <c r="AM2" i="2"/>
  <c r="AR10" i="2"/>
  <c r="AS10" i="2"/>
  <c r="AT10" i="2"/>
  <c r="AU10" i="2"/>
  <c r="AV10" i="2"/>
  <c r="AW10" i="2"/>
  <c r="AX10" i="2"/>
  <c r="AY10" i="2"/>
  <c r="AZ10" i="2"/>
  <c r="BA10" i="2"/>
  <c r="BB10" i="2"/>
  <c r="BC10" i="2"/>
  <c r="BD10" i="2"/>
  <c r="BE10" i="2"/>
  <c r="BF10" i="2"/>
  <c r="BG10" i="2"/>
  <c r="D8" i="7" l="1" a="1"/>
  <c r="D8" i="7" s="1"/>
  <c r="B8" i="7"/>
  <c r="AR3" i="2"/>
  <c r="AS3" i="2"/>
  <c r="AT3" i="2" s="1"/>
  <c r="AU3" i="2"/>
  <c r="AV3" i="2"/>
  <c r="AY3" i="2" s="1"/>
  <c r="BD3" i="2"/>
  <c r="AR5" i="2"/>
  <c r="AS5" i="2"/>
  <c r="AT5" i="2"/>
  <c r="AU5" i="2"/>
  <c r="AV5" i="2"/>
  <c r="AY5" i="2" s="1"/>
  <c r="AW5" i="2"/>
  <c r="AX5" i="2" s="1"/>
  <c r="BB5" i="2"/>
  <c r="BD5" i="2"/>
  <c r="AR9" i="2"/>
  <c r="AS9" i="2"/>
  <c r="AT9" i="2" s="1"/>
  <c r="AU9" i="2"/>
  <c r="AV9" i="2"/>
  <c r="AY9" i="2" s="1"/>
  <c r="BD9" i="2"/>
  <c r="AR11" i="2"/>
  <c r="AS11" i="2"/>
  <c r="AT11" i="2"/>
  <c r="AU11" i="2"/>
  <c r="AV11" i="2"/>
  <c r="AW11" i="2"/>
  <c r="AX11" i="2"/>
  <c r="AY11" i="2"/>
  <c r="AZ11" i="2"/>
  <c r="BA11" i="2"/>
  <c r="BB11" i="2"/>
  <c r="BC11" i="2"/>
  <c r="BD11" i="2"/>
  <c r="BE11" i="2"/>
  <c r="BF11" i="2"/>
  <c r="BG11" i="2"/>
  <c r="AR7" i="2"/>
  <c r="AT7" i="2"/>
  <c r="AV7" i="2"/>
  <c r="BB7" i="2"/>
  <c r="AS7" i="2"/>
  <c r="AU7" i="2"/>
  <c r="AW7" i="2"/>
  <c r="AX7" i="2"/>
  <c r="AY7" i="2"/>
  <c r="AZ7" i="2"/>
  <c r="BA7" i="2"/>
  <c r="BC7" i="2"/>
  <c r="BD7" i="2"/>
  <c r="BE7" i="2"/>
  <c r="BF7" i="2"/>
  <c r="BG7" i="2"/>
  <c r="AS6" i="2"/>
  <c r="AU6" i="2"/>
  <c r="AW6" i="2"/>
  <c r="AZ6" i="2"/>
  <c r="BB6" i="2"/>
  <c r="BD6" i="2"/>
  <c r="BF6" i="2"/>
  <c r="AR6" i="2"/>
  <c r="AT6" i="2"/>
  <c r="AV6" i="2"/>
  <c r="AX6" i="2"/>
  <c r="AY6" i="2"/>
  <c r="BA6" i="2"/>
  <c r="BC6" i="2"/>
  <c r="BE6" i="2"/>
  <c r="BG6" i="2"/>
  <c r="AR4" i="2"/>
  <c r="AS4" i="2"/>
  <c r="AT4" i="2"/>
  <c r="AU4" i="2"/>
  <c r="AV4" i="2"/>
  <c r="AW4" i="2"/>
  <c r="AX4" i="2"/>
  <c r="AY4" i="2"/>
  <c r="AZ4" i="2"/>
  <c r="BA4" i="2"/>
  <c r="BB4" i="2"/>
  <c r="BC4" i="2"/>
  <c r="BD4" i="2"/>
  <c r="BE4" i="2"/>
  <c r="BF4" i="2"/>
  <c r="BG4" i="2"/>
  <c r="D11" i="7" a="1"/>
  <c r="D11" i="7" s="1"/>
  <c r="B11" i="7"/>
  <c r="AR2" i="2"/>
  <c r="AS2" i="2"/>
  <c r="AT2" i="2"/>
  <c r="AU2" i="2"/>
  <c r="AV2" i="2"/>
  <c r="AW2" i="2"/>
  <c r="AX2" i="2"/>
  <c r="AY2" i="2"/>
  <c r="AZ2" i="2"/>
  <c r="BA2" i="2"/>
  <c r="BB2" i="2"/>
  <c r="BC2" i="2"/>
  <c r="BD2" i="2"/>
  <c r="BE2" i="2"/>
  <c r="BF2" i="2"/>
  <c r="BG2" i="2"/>
  <c r="C5" i="7"/>
  <c r="B16" i="6"/>
  <c r="C6" i="7"/>
  <c r="B21" i="6"/>
  <c r="BJ2" i="2"/>
  <c r="B22" i="6" s="1"/>
  <c r="B10" i="6"/>
  <c r="B11" i="6"/>
  <c r="B12" i="6"/>
  <c r="B13" i="6"/>
  <c r="B14" i="6"/>
  <c r="B15" i="6"/>
  <c r="D5" i="7" l="1" a="1"/>
  <c r="D5" i="7" s="1"/>
  <c r="B5" i="7"/>
  <c r="D6" i="7" a="1"/>
  <c r="D6" i="7" s="1"/>
  <c r="B6" i="7"/>
  <c r="B7" i="7"/>
  <c r="C7" i="7"/>
  <c r="BB3" i="2"/>
  <c r="AW3" i="2"/>
  <c r="AX3" i="2" s="1"/>
  <c r="BA5" i="2"/>
  <c r="AZ5" i="2"/>
  <c r="BB9" i="2"/>
  <c r="AW9" i="2"/>
  <c r="AX9" i="2" s="1"/>
  <c r="B17" i="6" l="1"/>
  <c r="BA3" i="2"/>
  <c r="C9" i="7" s="1"/>
  <c r="AZ3" i="2"/>
  <c r="BE5" i="2"/>
  <c r="BC5" i="2"/>
  <c r="AZ9" i="2"/>
  <c r="BA9" i="2"/>
  <c r="B9" i="7" l="1"/>
  <c r="B16" i="7" s="1"/>
  <c r="D9" i="7" a="1"/>
  <c r="D9" i="7" s="1"/>
  <c r="BE3" i="2"/>
  <c r="BC3" i="2"/>
  <c r="BG5" i="2"/>
  <c r="BF5" i="2"/>
  <c r="BE9" i="2"/>
  <c r="BC9" i="2"/>
  <c r="A11" i="1" l="1"/>
  <c r="B24" i="6"/>
  <c r="BG3" i="2"/>
  <c r="BF3" i="2"/>
  <c r="B18" i="6"/>
  <c r="BF9" i="2"/>
  <c r="BG9" i="2"/>
  <c r="B19" i="6" l="1"/>
  <c r="B20" i="6"/>
</calcChain>
</file>

<file path=xl/sharedStrings.xml><?xml version="1.0" encoding="utf-8"?>
<sst xmlns="http://schemas.openxmlformats.org/spreadsheetml/2006/main" count="521" uniqueCount="239">
  <si>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</si>
  <si>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</si>
  <si>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</si>
  <si>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</si>
  <si>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</si>
  <si>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</si>
  <si>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</si>
  <si>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</si>
  <si>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0.1.4.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</si>
  <si>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</si>
  <si>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</si>
  <si>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</si>
  <si>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</si>
  <si>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</si>
  <si>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</si>
  <si>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</si>
  <si>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</si>
  <si>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</si>
  <si>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</si>
  <si>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</si>
  <si>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</si>
  <si>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</si>
  <si>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</si>
  <si>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</si>
  <si>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</si>
  <si>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</si>
  <si>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</si>
  <si>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</si>
  <si>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</si>
  <si>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</si>
  <si>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</si>
  <si>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</si>
  <si>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</si>
  <si>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</si>
  <si>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</si>
  <si>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</si>
  <si>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</si>
  <si>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</si>
  <si>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</si>
  <si>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</si>
  <si>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</si>
  <si>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</si>
  <si>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</si>
  <si>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</si>
  <si>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</si>
  <si>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</si>
  <si>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</si>
  <si>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</si>
  <si>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</si>
  <si>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</si>
  <si>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</si>
  <si>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</si>
  <si>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</si>
  <si>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</si>
  <si>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</si>
  <si>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</si>
  <si>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</si>
  <si>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</si>
  <si>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</si>
  <si>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</si>
  <si>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</si>
  <si>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</si>
  <si>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</si>
  <si>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</si>
  <si>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</si>
  <si>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</si>
  <si>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</si>
  <si>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</si>
  <si>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</si>
  <si>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</si>
  <si>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</si>
  <si>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</si>
  <si>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</si>
  <si>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</si>
  <si>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</si>
  <si>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</si>
  <si>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</si>
  <si>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</si>
  <si>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</si>
  <si>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</si>
  <si>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</si>
  <si>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</si>
  <si>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</si>
  <si>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</si>
  <si>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</si>
  <si>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</si>
  <si>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</si>
  <si>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</si>
  <si>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</si>
  <si>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</si>
  <si>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</si>
  <si>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</si>
  <si>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</si>
  <si>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</si>
  <si>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</si>
  <si>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</si>
  <si>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</si>
  <si>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</si>
  <si>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</si>
  <si>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</si>
  <si>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</si>
  <si>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</si>
  <si>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</si>
  <si>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</si>
  <si>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</si>
  <si>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</si>
  <si>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</si>
  <si>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</si>
  <si>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</si>
  <si>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</si>
  <si>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</si>
  <si>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</si>
  <si>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</si>
  <si>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</si>
  <si>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</si>
  <si>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</si>
  <si>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</si>
  <si>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</si>
  <si>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</si>
  <si>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</si>
  <si>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</si>
  <si>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</si>
  <si>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</si>
  <si>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</si>
  <si>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</si>
  <si>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</si>
  <si>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</si>
  <si>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</si>
  <si>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</si>
  <si>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</si>
  <si>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</si>
  <si>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</si>
  <si>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</si>
  <si>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</si>
  <si>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</si>
  <si>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</si>
  <si>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</si>
  <si>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</si>
  <si>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</si>
  <si>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</si>
  <si>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</si>
  <si>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</si>
  <si>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</si>
  <si>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</si>
  <si>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</si>
  <si>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</si>
  <si>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</si>
  <si>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</si>
  <si>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</si>
  <si>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</si>
  <si>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</si>
  <si>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</si>
  <si>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</si>
  <si>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</si>
  <si>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</si>
  <si>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</si>
  <si>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</si>
  <si>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</si>
  <si>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</si>
  <si>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</si>
  <si>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</si>
  <si>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</si>
  <si>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</si>
  <si>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</si>
  <si>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</si>
  <si>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</si>
  <si>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</si>
  <si>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</si>
  <si>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</si>
  <si>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</si>
  <si>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</si>
  <si>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</si>
  <si>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</si>
  <si>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</si>
  <si>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</si>
  <si>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</si>
  <si>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</si>
  <si>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</si>
  <si>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</si>
  <si>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</si>
  <si>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</si>
  <si>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</si>
  <si>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</si>
  <si>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</si>
  <si>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</si>
  <si>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</si>
  <si>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</si>
  <si>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</si>
  <si>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</si>
  <si>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</si>
  <si>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</si>
  <si>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</si>
  <si>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</si>
  <si>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</si>
  <si>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</si>
  <si>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</si>
  <si>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</si>
  <si>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</si>
  <si>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</si>
  <si>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</si>
  <si>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</si>
  <si>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</si>
  <si>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</si>
  <si>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</si>
  <si>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</si>
  <si>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</si>
  <si>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</si>
  <si>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</si>
  <si>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</si>
  <si>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</si>
  <si>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</si>
  <si>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</si>
  <si>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</si>
  <si>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</si>
  <si>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</si>
  <si>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</si>
  <si>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</si>
  <si>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</si>
  <si>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</si>
  <si>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</si>
  <si>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</si>
  <si>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</si>
  <si>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</si>
  <si>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</si>
  <si>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0.1.4</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</si>
  <si>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</si>
  <si>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</si>
  <si>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</si>
  <si>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</si>
  <si>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</si>
  <si>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</si>
  <si>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</si>
  <si>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</si>
  <si>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2026-09-30;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</si>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</sst>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Row],[Stale_prepay]]=0,(tblLines[[#This Row],[Receipt_credit]]&gt;=ROUND(tblLines[[#This Row],[sg_amount]],2))),tblLines[[#This Row],[Settled]],Summary!$D$2),"")</calculatedColumnFormula>
    </tableColumn>
    <tableColumn id="49" xr3:uid="{00000000-0010-0000-0000-000031000000}" name="Accrual_to">
      <calculatedColumnFormula>IF((tblLines[[#This Row],[Exposed]]=1),IF(AND(tblLines[[#This Row],[Settled]]&lt;&gt;"",tblLines[[#This Row],[Stale_prepay]]=0,(tblLines[[#This Row],[Receipt_credit]]&gt;=ROUND(tblLines[[#This Row],[sg_amount]],2)),tblLines[[#This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3" xr3:uid="{00000000-0010-0000-0000-000035000000}" name="GIC_estimated">
      <calculatedColumnFormula>IF((tblLines[[#This Row],[Exposed]]=1),IF(tblLines[[#This Row],[NEC_end]]&gt;Summary!$B$7,1,0),"")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Row],[Exposed]]=1),ROUND(tblLines[[#This Row],[NEC]],2),"")</calculatedColumnFormula>
    </tableColumn>
    <tableColumn id="56" xr3:uid="{00000000-0010-0000-0000-000038000000}" name="Uplift_best">
      <calculatedColumnFormula>IF((tblLines[[#This Row],[Exposed]]=1),0,"")</calculatedColumnFormula>
    </tableColumn>
    <tableColumn id="57" xr3:uid="{00000000-0010-0000-0000-000039000000}" name="Uplift_worst">
      <calculatedColumnFormula>IF((tblLines[[#This Row],[Exposed]]=1),ROUND(0.6*(tblLines[[#This Row],[Final_shortfall]]+tblLines[[#This Row],[NEC]]),2),"")</calculatedColumnFormula>
    </tableColumn>
    <tableColumn id="58" xr3:uid="{00000000-0010-0000-0000-00003A000000}" name="SGC_low">
      <calculatedColumnFormula>IF((tblLines[[#This Row],[Exposed]]=1),tblLines[[#This Row],[Shortfall_r]]+tblLines[[#This Row],[NEC_r]]+tblLines[[#This Row],[Uplift_best]],"")</calculatedColumnFormula>
    </tableColumn>
    <tableColumn id="59" xr3:uid="{00000000-0010-0000-0000-00003B000000}" name="SGC_high">
      <calculatedColumnFormula>IF((tblLines[[#This Row],[Exposed]]=1),tblLines[[#This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17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Row],[Stale_prepay]]=0,(tblLines[[#This Row],[Receipt_credit]]&gt;=ROUND(tblLines[[#This Row],[sg_amount]],2))),tblLines[[#This Row],[Settled]],Summary!$D$2),"")</f>
        <v/>
      </c>
      <c r="AW2" s="9" t="str">
        <f>IF((tblLines[[#This Row],[Exposed]]=1),IF(AND(tblLines[[#This Row],[Settled]]&lt;&gt;"",tblLines[[#This Row],[Stale_prepay]]=0,(tblLines[[#This Row],[Receipt_credit]]&gt;=ROUND(tblLines[[#This Row],[sg_amount]],2)),tblLines[[#This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2" s="10" t="str">
        <f>IF((tblLines[[#This Row],[Exposed]]=1),IF(tblLines[[#This Row],[NEC_end]]&gt;Summary!$B$7,1,0),"")</f>
        <v/>
      </c>
      <c r="BB2" s="11" t="str">
        <f>IF((tblLines[[#This Row],[Exposed]]=1),ROUND(tblLines[[#This Row],[Final_shortfall]],2),"")</f>
        <v/>
      </c>
      <c r="BC2" s="11" t="str">
        <f>IF((tblLines[[#This Row],[Exposed]]=1),ROUND(tblLines[[#This Row],[NEC]],2),"")</f>
        <v/>
      </c>
      <c r="BD2" s="11" t="str">
        <f>IF((tblLines[[#This Row],[Exposed]]=1),0,"")</f>
        <v/>
      </c>
      <c r="BE2" s="11" t="str">
        <f>IF((tblLines[[#This Row],[Exposed]]=1),ROUND(0.6*(tblLines[[#This Row],[Final_shortfall]]+tblLines[[#This Row],[NEC]]),2),"")</f>
        <v/>
      </c>
      <c r="BF2" s="11" t="str">
        <f>IF((tblLines[[#This Row],[Exposed]]=1),tblLines[[#This Row],[Shortfall_r]]+tblLines[[#This Row],[NEC_r]]+tblLines[[#This Row],[Uplift_best]],"")</f>
        <v/>
      </c>
      <c r="BG2" s="11" t="str">
        <f>IF((tblLines[[#This Row],[Exposed]]=1),tblLines[[#This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Row],[Stale_prepay]]=0,(tblLines[[#This Row],[Receipt_credit]]&gt;=ROUND(tblLines[[#This Row],[sg_amount]],2))),tblLines[[#This Row],[Settled]],Summary!$D$2),"")</f>
        <v>46238</v>
      </c>
      <c r="AW3" s="9">
        <f>IF((tblLines[[#This Row],[Exposed]]=1),IF(AND(tblLines[[#This Row],[Settled]]&lt;&gt;"",tblLines[[#This Row],[Stale_prepay]]=0,(tblLines[[#This Row],[Receipt_credit]]&gt;=ROUND(tblLines[[#This Row],[sg_amount]],2)),tblLines[[#This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A3" s="10">
        <f>IF((tblLines[[#This Row],[Exposed]]=1),IF(tblLines[[#This Row],[NEC_end]]&gt;Summary!$B$7,1,0),"")</f>
        <v>0</v>
      </c>
      <c r="BB3" s="11">
        <f>IF((tblLines[[#This Row],[Exposed]]=1),ROUND(tblLines[[#This Row],[Final_shortfall]],2),"")</f>
        <v>0</v>
      </c>
      <c r="BC3" s="11">
        <f>IF((tblLines[[#This Row],[Exposed]]=1),ROUND(tblLines[[#This Row],[NEC]],2),"")</f>
        <v>2.54</v>
      </c>
      <c r="BD3" s="11">
        <f>IF((tblLines[[#This Row],[Exposed]]=1),0,"")</f>
        <v>0</v>
      </c>
      <c r="BE3" s="11">
        <f>IF((tblLines[[#This Row],[Exposed]]=1),ROUND(0.6*(tblLines[[#This Row],[Final_shortfall]]+tblLines[[#This Row],[NEC]]),2),"")</f>
        <v>1.53</v>
      </c>
      <c r="BF3" s="11">
        <f>IF((tblLines[[#This Row],[Exposed]]=1),tblLines[[#This Row],[Shortfall_r]]+tblLines[[#This Row],[NEC_r]]+tblLines[[#This Row],[Uplift_best]],"")</f>
        <v>2.54</v>
      </c>
      <c r="BG3" s="11">
        <f>IF((tblLines[[#This Row],[Exposed]]=1),tblLines[[#This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Row],[Stale_prepay]]=0,(tblLines[[#This Row],[Receipt_credit]]&gt;=ROUND(tblLines[[#This Row],[sg_amount]],2))),tblLines[[#This Row],[Settled]],Summary!$D$2),"")</f>
        <v/>
      </c>
      <c r="AW4" s="9" t="str">
        <f>IF((tblLines[[#This Row],[Exposed]]=1),IF(AND(tblLines[[#This Row],[Settled]]&lt;&gt;"",tblLines[[#This Row],[Stale_prepay]]=0,(tblLines[[#This Row],[Receipt_credit]]&gt;=ROUND(tblLines[[#This Row],[sg_amount]],2)),tblLines[[#This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4" s="10" t="str">
        <f>IF((tblLines[[#This Row],[Exposed]]=1),IF(tblLines[[#This Row],[NEC_end]]&gt;Summary!$B$7,1,0),"")</f>
        <v/>
      </c>
      <c r="BB4" s="11" t="str">
        <f>IF((tblLines[[#This Row],[Exposed]]=1),ROUND(tblLines[[#This Row],[Final_shortfall]],2),"")</f>
        <v/>
      </c>
      <c r="BC4" s="11" t="str">
        <f>IF((tblLines[[#This Row],[Exposed]]=1),ROUND(tblLines[[#This Row],[NEC]],2),"")</f>
        <v/>
      </c>
      <c r="BD4" s="11" t="str">
        <f>IF((tblLines[[#This Row],[Exposed]]=1),0,"")</f>
        <v/>
      </c>
      <c r="BE4" s="11" t="str">
        <f>IF((tblLines[[#This Row],[Exposed]]=1),ROUND(0.6*(tblLines[[#This Row],[Final_shortfall]]+tblLines[[#This Row],[NEC]]),2),"")</f>
        <v/>
      </c>
      <c r="BF4" s="11" t="str">
        <f>IF((tblLines[[#This Row],[Exposed]]=1),tblLines[[#This Row],[Shortfall_r]]+tblLines[[#This Row],[NEC_r]]+tblLines[[#This Row],[Uplift_best]],"")</f>
        <v/>
      </c>
      <c r="BG4" s="11" t="str">
        <f>IF((tblLines[[#This Row],[Exposed]]=1),tblLines[[#This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Row],[Stale_prepay]]=0,(tblLines[[#This Row],[Receipt_credit]]&gt;=ROUND(tblLines[[#This Row],[sg_amount]],2))),tblLines[[#This Row],[Settled]],Summary!$D$2),"")</f>
        <v>46244</v>
      </c>
      <c r="AW5" s="9">
        <f>IF((tblLines[[#This Row],[Exposed]]=1),IF(AND(tblLines[[#This Row],[Settled]]&lt;&gt;"",tblLines[[#This Row],[Stale_prepay]]=0,(tblLines[[#This Row],[Receipt_credit]]&gt;=ROUND(tblLines[[#This Row],[sg_amount]],2)),tblLines[[#This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A5" s="10">
        <f>IF((tblLines[[#This Row],[Exposed]]=1),IF(tblLines[[#This Row],[NEC_end]]&gt;Summary!$B$7,1,0),"")</f>
        <v>0</v>
      </c>
      <c r="BB5" s="11">
        <f>IF((tblLines[[#This Row],[Exposed]]=1),ROUND(tblLines[[#This Row],[Final_shortfall]],2),"")</f>
        <v>780</v>
      </c>
      <c r="BC5" s="11">
        <f>IF((tblLines[[#This Row],[Exposed]]=1),ROUND(tblLines[[#This Row],[NEC]],2),"")</f>
        <v>5.15</v>
      </c>
      <c r="BD5" s="11">
        <f>IF((tblLines[[#This Row],[Exposed]]=1),0,"")</f>
        <v>0</v>
      </c>
      <c r="BE5" s="11">
        <f>IF((tblLines[[#This Row],[Exposed]]=1),ROUND(0.6*(tblLines[[#This Row],[Final_shortfall]]+tblLines[[#This Row],[NEC]]),2),"")</f>
        <v>471.09</v>
      </c>
      <c r="BF5" s="11">
        <f>IF((tblLines[[#This Row],[Exposed]]=1),tblLines[[#This Row],[Shortfall_r]]+tblLines[[#This Row],[NEC_r]]+tblLines[[#This Row],[Uplift_best]],"")</f>
        <v>785.15</v>
      </c>
      <c r="BG5" s="11">
        <f>IF((tblLines[[#This Row],[Exposed]]=1),tblLines[[#This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Row],[Stale_prepay]]=0,(tblLines[[#This Row],[Receipt_credit]]&gt;=ROUND(tblLines[[#This Row],[sg_amount]],2))),tblLines[[#This Row],[Settled]],Summary!$D$2),"")</f>
        <v/>
      </c>
      <c r="AW6" s="9" t="str">
        <f>IF((tblLines[[#This Row],[Exposed]]=1),IF(AND(tblLines[[#This Row],[Settled]]&lt;&gt;"",tblLines[[#This Row],[Stale_prepay]]=0,(tblLines[[#This Row],[Receipt_credit]]&gt;=ROUND(tblLines[[#This Row],[sg_amount]],2)),tblLines[[#This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6" s="10" t="str">
        <f>IF((tblLines[[#This Row],[Exposed]]=1),IF(tblLines[[#This Row],[NEC_end]]&gt;Summary!$B$7,1,0),"")</f>
        <v/>
      </c>
      <c r="BB6" s="11" t="str">
        <f>IF((tblLines[[#This Row],[Exposed]]=1),ROUND(tblLines[[#This Row],[Final_shortfall]],2),"")</f>
        <v/>
      </c>
      <c r="BC6" s="11" t="str">
        <f>IF((tblLines[[#This Row],[Exposed]]=1),ROUND(tblLines[[#This Row],[NEC]],2),"")</f>
        <v/>
      </c>
      <c r="BD6" s="11" t="str">
        <f>IF((tblLines[[#This Row],[Exposed]]=1),0,"")</f>
        <v/>
      </c>
      <c r="BE6" s="11" t="str">
        <f>IF((tblLines[[#This Row],[Exposed]]=1),ROUND(0.6*(tblLines[[#This Row],[Final_shortfall]]+tblLines[[#This Row],[NEC]]),2),"")</f>
        <v/>
      </c>
      <c r="BF6" s="11" t="str">
        <f>IF((tblLines[[#This Row],[Exposed]]=1),tblLines[[#This Row],[Shortfall_r]]+tblLines[[#This Row],[NEC_r]]+tblLines[[#This Row],[Uplift_best]],"")</f>
        <v/>
      </c>
      <c r="BG6" s="11" t="str">
        <f>IF((tblLines[[#This Row],[Exposed]]=1),tblLines[[#This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Row],[Stale_prepay]]=0,(tblLines[[#This Row],[Receipt_credit]]&gt;=ROUND(tblLines[[#This Row],[sg_amount]],2))),tblLines[[#This Row],[Settled]],Summary!$D$2),"")</f>
        <v/>
      </c>
      <c r="AW7" s="9" t="str">
        <f>IF((tblLines[[#This Row],[Exposed]]=1),IF(AND(tblLines[[#This Row],[Settled]]&lt;&gt;"",tblLines[[#This Row],[Stale_prepay]]=0,(tblLines[[#This Row],[Receipt_credit]]&gt;=ROUND(tblLines[[#This Row],[sg_amount]],2)),tblLines[[#This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7" s="10" t="str">
        <f>IF((tblLines[[#This Row],[Exposed]]=1),IF(tblLines[[#This Row],[NEC_end]]&gt;Summary!$B$7,1,0),"")</f>
        <v/>
      </c>
      <c r="BB7" s="11" t="str">
        <f>IF((tblLines[[#This Row],[Exposed]]=1),ROUND(tblLines[[#This Row],[Final_shortfall]],2),"")</f>
        <v/>
      </c>
      <c r="BC7" s="11" t="str">
        <f>IF((tblLines[[#This Row],[Exposed]]=1),ROUND(tblLines[[#This Row],[NEC]],2),"")</f>
        <v/>
      </c>
      <c r="BD7" s="11" t="str">
        <f>IF((tblLines[[#This Row],[Exposed]]=1),0,"")</f>
        <v/>
      </c>
      <c r="BE7" s="11" t="str">
        <f>IF((tblLines[[#This Row],[Exposed]]=1),ROUND(0.6*(tblLines[[#This Row],[Final_shortfall]]+tblLines[[#This Row],[NEC]]),2),"")</f>
        <v/>
      </c>
      <c r="BF7" s="11" t="str">
        <f>IF((tblLines[[#This Row],[Exposed]]=1),tblLines[[#This Row],[Shortfall_r]]+tblLines[[#This Row],[NEC_r]]+tblLines[[#This Row],[Uplift_best]],"")</f>
        <v/>
      </c>
      <c r="BG7" s="11" t="str">
        <f>IF((tblLines[[#This Row],[Exposed]]=1),tblLines[[#This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Row],[Stale_prepay]]=0,(tblLines[[#This Row],[Receipt_credit]]&gt;=ROUND(tblLines[[#This Row],[sg_amount]],2))),tblLines[[#This Row],[Settled]],Summary!$D$2),"")</f>
        <v/>
      </c>
      <c r="AW8" s="9" t="str">
        <f>IF((tblLines[[#This Row],[Exposed]]=1),IF(AND(tblLines[[#This Row],[Settled]]&lt;&gt;"",tblLines[[#This Row],[Stale_prepay]]=0,(tblLines[[#This Row],[Receipt_credit]]&gt;=ROUND(tblLines[[#This Row],[sg_amount]],2)),tblLines[[#This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8" s="10" t="str">
        <f>IF((tblLines[[#This Row],[Exposed]]=1),IF(tblLines[[#This Row],[NEC_end]]&gt;Summary!$B$7,1,0),"")</f>
        <v/>
      </c>
      <c r="BB8" s="11" t="str">
        <f>IF((tblLines[[#This Row],[Exposed]]=1),ROUND(tblLines[[#This Row],[Final_shortfall]],2),"")</f>
        <v/>
      </c>
      <c r="BC8" s="11" t="str">
        <f>IF((tblLines[[#This Row],[Exposed]]=1),ROUND(tblLines[[#This Row],[NEC]],2),"")</f>
        <v/>
      </c>
      <c r="BD8" s="11" t="str">
        <f>IF((tblLines[[#This Row],[Exposed]]=1),0,"")</f>
        <v/>
      </c>
      <c r="BE8" s="11" t="str">
        <f>IF((tblLines[[#This Row],[Exposed]]=1),ROUND(0.6*(tblLines[[#This Row],[Final_shortfall]]+tblLines[[#This Row],[NEC]]),2),"")</f>
        <v/>
      </c>
      <c r="BF8" s="11" t="str">
        <f>IF((tblLines[[#This Row],[Exposed]]=1),tblLines[[#This Row],[Shortfall_r]]+tblLines[[#This Row],[NEC_r]]+tblLines[[#This Row],[Uplift_best]],"")</f>
        <v/>
      </c>
      <c r="BG8" s="11" t="str">
        <f>IF((tblLines[[#This Row],[Exposed]]=1),tblLines[[#This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Row],[Stale_prepay]]=0,(tblLines[[#This Row],[Receipt_credit]]&gt;=ROUND(tblLines[[#This Row],[sg_amount]],2))),tblLines[[#This Row],[Settled]],Summary!$D$2),"")</f>
        <v>46240</v>
      </c>
      <c r="AW9" s="9">
        <f>IF((tblLines[[#This Row],[Exposed]]=1),IF(AND(tblLines[[#This Row],[Settled]]&lt;&gt;"",tblLines[[#This Row],[Stale_prepay]]=0,(tblLines[[#This Row],[Receipt_credit]]&gt;=ROUND(tblLines[[#This Row],[sg_amount]],2)),tblLines[[#This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A9" s="10">
        <f>IF((tblLines[[#This Row],[Exposed]]=1),IF(tblLines[[#This Row],[NEC_end]]&gt;Summary!$B$7,1,0),"")</f>
        <v>0</v>
      </c>
      <c r="BB9" s="11">
        <f>IF((tblLines[[#This Row],[Exposed]]=1),ROUND(tblLines[[#This Row],[Final_shortfall]],2),"")</f>
        <v>0</v>
      </c>
      <c r="BC9" s="11">
        <f>IF((tblLines[[#This Row],[Exposed]]=1),ROUND(tblLines[[#This Row],[NEC]],2),"")</f>
        <v>0.38</v>
      </c>
      <c r="BD9" s="11">
        <f>IF((tblLines[[#This Row],[Exposed]]=1),0,"")</f>
        <v>0</v>
      </c>
      <c r="BE9" s="11">
        <f>IF((tblLines[[#This Row],[Exposed]]=1),ROUND(0.6*(tblLines[[#This Row],[Final_shortfall]]+tblLines[[#This Row],[NEC]]),2),"")</f>
        <v>0.23</v>
      </c>
      <c r="BF9" s="11">
        <f>IF((tblLines[[#This Row],[Exposed]]=1),tblLines[[#This Row],[Shortfall_r]]+tblLines[[#This Row],[NEC_r]]+tblLines[[#This Row],[Uplift_best]],"")</f>
        <v>0.38</v>
      </c>
      <c r="BG9" s="11">
        <f>IF((tblLines[[#This Row],[Exposed]]=1),tblLines[[#This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Row],[Stale_prepay]]=0,(tblLines[[#This Row],[Receipt_credit]]&gt;=ROUND(tblLines[[#This Row],[sg_amount]],2))),tblLines[[#This Row],[Settled]],Summary!$D$2),"")</f>
        <v/>
      </c>
      <c r="AW10" s="9" t="str">
        <f>IF((tblLines[[#This Row],[Exposed]]=1),IF(AND(tblLines[[#This Row],[Settled]]&lt;&gt;"",tblLines[[#This Row],[Stale_prepay]]=0,(tblLines[[#This Row],[Receipt_credit]]&gt;=ROUND(tblLines[[#This Row],[sg_amount]],2)),tblLines[[#This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0" s="10" t="str">
        <f>IF((tblLines[[#This Row],[Exposed]]=1),IF(tblLines[[#This Row],[NEC_end]]&gt;Summary!$B$7,1,0),"")</f>
        <v/>
      </c>
      <c r="BB10" s="11" t="str">
        <f>IF((tblLines[[#This Row],[Exposed]]=1),ROUND(tblLines[[#This Row],[Final_shortfall]],2),"")</f>
        <v/>
      </c>
      <c r="BC10" s="11" t="str">
        <f>IF((tblLines[[#This Row],[Exposed]]=1),ROUND(tblLines[[#This Row],[NEC]],2),"")</f>
        <v/>
      </c>
      <c r="BD10" s="11" t="str">
        <f>IF((tblLines[[#This Row],[Exposed]]=1),0,"")</f>
        <v/>
      </c>
      <c r="BE10" s="11" t="str">
        <f>IF((tblLines[[#This Row],[Exposed]]=1),ROUND(0.6*(tblLines[[#This Row],[Final_shortfall]]+tblLines[[#This Row],[NEC]]),2),"")</f>
        <v/>
      </c>
      <c r="BF10" s="11" t="str">
        <f>IF((tblLines[[#This Row],[Exposed]]=1),tblLines[[#This Row],[Shortfall_r]]+tblLines[[#This Row],[NEC_r]]+tblLines[[#This Row],[Uplift_best]],"")</f>
        <v/>
      </c>
      <c r="BG10" s="11" t="str">
        <f>IF((tblLines[[#This Row],[Exposed]]=1),tblLines[[#This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Row],[Stale_prepay]]=0,(tblLines[[#This Row],[Receipt_credit]]&gt;=ROUND(tblLines[[#This Row],[sg_amount]],2))),tblLines[[#This Row],[Settled]],Summary!$D$2),"")</f>
        <v/>
      </c>
      <c r="AW11" s="9" t="str">
        <f>IF((tblLines[[#This Row],[Exposed]]=1),IF(AND(tblLines[[#This Row],[Settled]]&lt;&gt;"",tblLines[[#This Row],[Stale_prepay]]=0,(tblLines[[#This Row],[Receipt_credit]]&gt;=ROUND(tblLines[[#This Row],[sg_amount]],2)),tblLines[[#This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1" s="10" t="str">
        <f>IF((tblLines[[#This Row],[Exposed]]=1),IF(tblLines[[#This Row],[NEC_end]]&gt;Summary!$B$7,1,0),"")</f>
        <v/>
      </c>
      <c r="BB11" s="11" t="str">
        <f>IF((tblLines[[#This Row],[Exposed]]=1),ROUND(tblLines[[#This Row],[Final_shortfall]],2),"")</f>
        <v/>
      </c>
      <c r="BC11" s="11" t="str">
        <f>IF((tblLines[[#This Row],[Exposed]]=1),ROUND(tblLines[[#This Row],[NEC]],2),"")</f>
        <v/>
      </c>
      <c r="BD11" s="11" t="str">
        <f>IF((tblLines[[#This Row],[Exposed]]=1),0,"")</f>
        <v/>
      </c>
      <c r="BE11" s="11" t="str">
        <f>IF((tblLines[[#This Row],[Exposed]]=1),ROUND(0.6*(tblLines[[#This Row],[Final_shortfall]]+tblLines[[#This Row],[NEC]]),2),"")</f>
        <v/>
      </c>
      <c r="BF11" s="11" t="str">
        <f>IF((tblLines[[#This Row],[Exposed]]=1),tblLines[[#This Row],[Shortfall_r]]+tblLines[[#This Row],[NEC_r]]+tblLines[[#This Row],[Uplift_best]],"")</f>
        <v/>
      </c>
      <c r="BG11" s="11" t="str">
        <f>IF((tblLines[[#This Row],[Exposed]]=1),tblLines[[#This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126</v>
      </c>
      <c r="B1" s="5" t="s">
        <v>127</v>
      </c>
      <c r="C1" s="5" t="s">
        <v>128</v>
      </c>
    </row>
    <row r="2" spans="1:3" x14ac:dyDescent="0.25">
      <c r="A2" s="7">
        <v>46023</v>
      </c>
      <c r="B2" s="12" t="s">
        <v>129</v>
      </c>
      <c r="C2" s="12" t="s">
        <v>130</v>
      </c>
    </row>
    <row r="3" spans="1:3" x14ac:dyDescent="0.25">
      <c r="A3" s="7">
        <v>46048</v>
      </c>
      <c r="B3" s="12" t="s">
        <v>131</v>
      </c>
      <c r="C3" s="12" t="s">
        <v>130</v>
      </c>
    </row>
    <row r="4" spans="1:3" x14ac:dyDescent="0.25">
      <c r="A4" s="7">
        <v>46083</v>
      </c>
      <c r="B4" s="12" t="s">
        <v>132</v>
      </c>
      <c r="C4" s="12" t="s">
        <v>133</v>
      </c>
    </row>
    <row r="5" spans="1:3" x14ac:dyDescent="0.25">
      <c r="A5" s="7">
        <v>46090</v>
      </c>
      <c r="B5" s="12" t="s">
        <v>134</v>
      </c>
      <c r="C5" s="12" t="s">
        <v>135</v>
      </c>
    </row>
    <row r="6" spans="1:3" x14ac:dyDescent="0.25">
      <c r="A6" s="7">
        <v>46115</v>
      </c>
      <c r="B6" s="12" t="s">
        <v>136</v>
      </c>
      <c r="C6" s="12" t="s">
        <v>130</v>
      </c>
    </row>
    <row r="7" spans="1:3" x14ac:dyDescent="0.25">
      <c r="A7" s="7">
        <v>46116</v>
      </c>
      <c r="B7" s="12" t="s">
        <v>137</v>
      </c>
      <c r="C7" s="12" t="s">
        <v>138</v>
      </c>
    </row>
    <row r="8" spans="1:3" x14ac:dyDescent="0.25">
      <c r="A8" s="7">
        <v>46117</v>
      </c>
      <c r="B8" s="12" t="s">
        <v>139</v>
      </c>
      <c r="C8" s="12" t="s">
        <v>140</v>
      </c>
    </row>
    <row r="9" spans="1:3" x14ac:dyDescent="0.25">
      <c r="A9" s="7">
        <v>46118</v>
      </c>
      <c r="B9" s="12" t="s">
        <v>141</v>
      </c>
      <c r="C9" s="12" t="s">
        <v>130</v>
      </c>
    </row>
    <row r="10" spans="1:3" x14ac:dyDescent="0.25">
      <c r="A10" s="7">
        <v>46137</v>
      </c>
      <c r="B10" s="12" t="s">
        <v>142</v>
      </c>
      <c r="C10" s="12" t="s">
        <v>130</v>
      </c>
    </row>
    <row r="11" spans="1:3" x14ac:dyDescent="0.25">
      <c r="A11" s="7">
        <v>46139</v>
      </c>
      <c r="B11" s="12" t="s">
        <v>143</v>
      </c>
      <c r="C11" s="12" t="s">
        <v>144</v>
      </c>
    </row>
    <row r="12" spans="1:3" x14ac:dyDescent="0.25">
      <c r="A12" s="7">
        <v>46146</v>
      </c>
      <c r="B12" s="12" t="s">
        <v>145</v>
      </c>
      <c r="C12" s="12" t="s">
        <v>146</v>
      </c>
    </row>
    <row r="13" spans="1:3" x14ac:dyDescent="0.25">
      <c r="A13" s="7">
        <v>46174</v>
      </c>
      <c r="B13" s="12" t="s">
        <v>147</v>
      </c>
      <c r="C13" s="12" t="s">
        <v>148</v>
      </c>
    </row>
    <row r="14" spans="1:3" x14ac:dyDescent="0.25">
      <c r="A14" s="7">
        <v>46181</v>
      </c>
      <c r="B14" s="12" t="s">
        <v>149</v>
      </c>
      <c r="C14" s="12" t="s">
        <v>150</v>
      </c>
    </row>
    <row r="15" spans="1:3" x14ac:dyDescent="0.25">
      <c r="A15" s="7">
        <v>46237</v>
      </c>
      <c r="B15" s="12" t="s">
        <v>151</v>
      </c>
      <c r="C15" s="12" t="s">
        <v>152</v>
      </c>
    </row>
    <row r="16" spans="1:3" x14ac:dyDescent="0.25">
      <c r="A16" s="7">
        <v>46290</v>
      </c>
      <c r="B16" s="12" t="s">
        <v>153</v>
      </c>
      <c r="C16" s="12" t="s">
        <v>154</v>
      </c>
    </row>
    <row r="17" spans="1:3" x14ac:dyDescent="0.25">
      <c r="A17" s="7">
        <v>46300</v>
      </c>
      <c r="B17" s="12" t="s">
        <v>155</v>
      </c>
      <c r="C17" s="12" t="s">
        <v>156</v>
      </c>
    </row>
    <row r="18" spans="1:3" x14ac:dyDescent="0.25">
      <c r="A18" s="7">
        <v>46381</v>
      </c>
      <c r="B18" s="12" t="s">
        <v>157</v>
      </c>
      <c r="C18" s="12" t="s">
        <v>130</v>
      </c>
    </row>
    <row r="19" spans="1:3" x14ac:dyDescent="0.25">
      <c r="A19" s="7">
        <v>46382</v>
      </c>
      <c r="B19" s="12" t="s">
        <v>158</v>
      </c>
      <c r="C19" s="12" t="s">
        <v>140</v>
      </c>
    </row>
    <row r="20" spans="1:3" x14ac:dyDescent="0.25">
      <c r="A20" s="7">
        <v>46384</v>
      </c>
      <c r="B20" s="12" t="s">
        <v>159</v>
      </c>
      <c r="C20" s="12" t="s">
        <v>130</v>
      </c>
    </row>
    <row r="21" spans="1:3" x14ac:dyDescent="0.25">
      <c r="A21" s="7">
        <v>46388</v>
      </c>
      <c r="B21" s="12" t="s">
        <v>129</v>
      </c>
      <c r="C21" s="12" t="s">
        <v>130</v>
      </c>
    </row>
    <row r="22" spans="1:3" x14ac:dyDescent="0.25">
      <c r="A22" s="7">
        <v>46413</v>
      </c>
      <c r="B22" s="12" t="s">
        <v>131</v>
      </c>
      <c r="C22" s="12" t="s">
        <v>130</v>
      </c>
    </row>
    <row r="23" spans="1:3" x14ac:dyDescent="0.25">
      <c r="A23" s="7">
        <v>46447</v>
      </c>
      <c r="B23" s="12" t="s">
        <v>132</v>
      </c>
      <c r="C23" s="12" t="s">
        <v>133</v>
      </c>
    </row>
    <row r="24" spans="1:3" x14ac:dyDescent="0.25">
      <c r="A24" s="7">
        <v>46454</v>
      </c>
      <c r="B24" s="12" t="s">
        <v>134</v>
      </c>
      <c r="C24" s="12" t="s">
        <v>135</v>
      </c>
    </row>
    <row r="25" spans="1:3" x14ac:dyDescent="0.25">
      <c r="A25" s="7">
        <v>46472</v>
      </c>
      <c r="B25" s="12" t="s">
        <v>136</v>
      </c>
      <c r="C25" s="12" t="s">
        <v>130</v>
      </c>
    </row>
    <row r="26" spans="1:3" x14ac:dyDescent="0.25">
      <c r="A26" s="7">
        <v>46473</v>
      </c>
      <c r="B26" s="12" t="s">
        <v>137</v>
      </c>
      <c r="C26" s="12" t="s">
        <v>138</v>
      </c>
    </row>
    <row r="27" spans="1:3" x14ac:dyDescent="0.25">
      <c r="A27" s="7">
        <v>46474</v>
      </c>
      <c r="B27" s="12" t="s">
        <v>139</v>
      </c>
      <c r="C27" s="12" t="s">
        <v>140</v>
      </c>
    </row>
    <row r="28" spans="1:3" x14ac:dyDescent="0.25">
      <c r="A28" s="7">
        <v>46475</v>
      </c>
      <c r="B28" s="12" t="s">
        <v>141</v>
      </c>
      <c r="C28" s="12" t="s">
        <v>130</v>
      </c>
    </row>
    <row r="29" spans="1:3" x14ac:dyDescent="0.25">
      <c r="A29" s="7">
        <v>46502</v>
      </c>
      <c r="B29" s="12" t="s">
        <v>142</v>
      </c>
      <c r="C29" s="12" t="s">
        <v>160</v>
      </c>
    </row>
    <row r="30" spans="1:3" x14ac:dyDescent="0.25">
      <c r="A30" s="7">
        <v>46503</v>
      </c>
      <c r="B30" s="12" t="s">
        <v>161</v>
      </c>
      <c r="C30" s="12" t="s">
        <v>162</v>
      </c>
    </row>
    <row r="31" spans="1:3" x14ac:dyDescent="0.25">
      <c r="A31" s="7">
        <v>46510</v>
      </c>
      <c r="B31" s="12" t="s">
        <v>145</v>
      </c>
      <c r="C31" s="12" t="s">
        <v>146</v>
      </c>
    </row>
    <row r="32" spans="1:3" x14ac:dyDescent="0.25">
      <c r="A32" s="7">
        <v>46538</v>
      </c>
      <c r="B32" s="12" t="s">
        <v>163</v>
      </c>
      <c r="C32" s="12" t="s">
        <v>164</v>
      </c>
    </row>
    <row r="33" spans="1:3" x14ac:dyDescent="0.25">
      <c r="A33" s="7">
        <v>46545</v>
      </c>
      <c r="B33" s="12" t="s">
        <v>165</v>
      </c>
      <c r="C33" s="12" t="s">
        <v>133</v>
      </c>
    </row>
    <row r="34" spans="1:3" x14ac:dyDescent="0.25">
      <c r="A34" s="7">
        <v>46552</v>
      </c>
      <c r="B34" s="12" t="s">
        <v>149</v>
      </c>
      <c r="C34" s="12" t="s">
        <v>150</v>
      </c>
    </row>
    <row r="35" spans="1:3" x14ac:dyDescent="0.25">
      <c r="A35" s="7">
        <v>46601</v>
      </c>
      <c r="B35" s="12" t="s">
        <v>151</v>
      </c>
      <c r="C35" s="12" t="s">
        <v>152</v>
      </c>
    </row>
    <row r="36" spans="1:3" x14ac:dyDescent="0.25">
      <c r="A36" s="7">
        <v>46664</v>
      </c>
      <c r="B36" s="12" t="s">
        <v>155</v>
      </c>
      <c r="C36" s="12" t="s">
        <v>156</v>
      </c>
    </row>
    <row r="37" spans="1:3" x14ac:dyDescent="0.25">
      <c r="A37" s="7">
        <v>46746</v>
      </c>
      <c r="B37" s="12" t="s">
        <v>157</v>
      </c>
      <c r="C37" s="12" t="s">
        <v>130</v>
      </c>
    </row>
    <row r="38" spans="1:3" x14ac:dyDescent="0.25">
      <c r="A38" s="7">
        <v>46747</v>
      </c>
      <c r="B38" s="12" t="s">
        <v>158</v>
      </c>
      <c r="C38" s="12" t="s">
        <v>140</v>
      </c>
    </row>
    <row r="39" spans="1:3" x14ac:dyDescent="0.25">
      <c r="A39" s="7">
        <v>46748</v>
      </c>
      <c r="B39" s="12" t="s">
        <v>166</v>
      </c>
      <c r="C39" s="12" t="s">
        <v>130</v>
      </c>
    </row>
    <row r="40" spans="1:3" x14ac:dyDescent="0.25">
      <c r="A40" s="7">
        <v>46749</v>
      </c>
      <c r="B40" s="12" t="s">
        <v>159</v>
      </c>
      <c r="C40" s="12" t="s">
        <v>130</v>
      </c>
    </row>
    <row r="43" spans="1:3" x14ac:dyDescent="0.25">
      <c r="A43" t="s">
        <v>167</v>
      </c>
    </row>
    <row r="44" spans="1:3" x14ac:dyDescent="0.25">
      <c r="A44" t="s">
        <v>168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1"/>
  <sheetViews>
    <sheetView workbookViewId="0"/>
  </sheetViews>
  <sheetFormatPr defaultRowHeight="15" x14ac:dyDescent="0.25"/>
  <cols>
    <col min="6" max="6" width="14" customWidth="1"/>
  </cols>
  <sheetData>
    <row r="1" spans="1:6" x14ac:dyDescent="0.25">
      <c r="A1" s="5" t="s">
        <v>169</v>
      </c>
      <c r="B1" s="5" t="s">
        <v>170</v>
      </c>
      <c r="C1" s="5" t="s">
        <v>171</v>
      </c>
      <c r="D1" s="5" t="s">
        <v>172</v>
      </c>
      <c r="E1" s="5" t="s">
        <v>173</v>
      </c>
      <c r="F1" s="5" t="s">
        <v>174</v>
      </c>
    </row>
    <row r="2" spans="1:6" x14ac:dyDescent="0.25">
      <c r="A2" s="7">
        <v>46113</v>
      </c>
      <c r="B2" s="7">
        <v>46203</v>
      </c>
      <c r="C2" s="12">
        <v>10.96</v>
      </c>
      <c r="D2" s="12">
        <v>365</v>
      </c>
      <c r="E2" s="12" t="s">
        <v>175</v>
      </c>
      <c r="F2" s="12" t="s">
        <v>176</v>
      </c>
    </row>
    <row r="3" spans="1:6" x14ac:dyDescent="0.25">
      <c r="A3" s="7">
        <v>46204</v>
      </c>
      <c r="B3" s="7">
        <v>46295</v>
      </c>
      <c r="C3" s="12">
        <v>11.43</v>
      </c>
      <c r="D3" s="12">
        <v>365</v>
      </c>
      <c r="E3" s="12" t="s">
        <v>175</v>
      </c>
      <c r="F3" s="12" t="s">
        <v>176</v>
      </c>
    </row>
    <row r="4" spans="1:6" x14ac:dyDescent="0.25">
      <c r="A4" s="7">
        <v>46296</v>
      </c>
      <c r="B4" s="7">
        <v>46387</v>
      </c>
      <c r="C4" s="12">
        <v>11.43</v>
      </c>
      <c r="D4" s="12">
        <v>365</v>
      </c>
      <c r="E4" s="12" t="s">
        <v>177</v>
      </c>
      <c r="F4" s="12"/>
    </row>
    <row r="5" spans="1:6" x14ac:dyDescent="0.25">
      <c r="A5" s="7">
        <v>46388</v>
      </c>
      <c r="B5" s="7">
        <v>46752</v>
      </c>
      <c r="C5" s="12">
        <v>11.43</v>
      </c>
      <c r="D5" s="12">
        <v>365</v>
      </c>
      <c r="E5" s="12" t="s">
        <v>177</v>
      </c>
      <c r="F5" s="12"/>
    </row>
    <row r="6" spans="1:6" x14ac:dyDescent="0.25">
      <c r="A6" s="7">
        <v>46753</v>
      </c>
      <c r="B6" s="7">
        <v>47118</v>
      </c>
      <c r="C6" s="12">
        <v>11.43</v>
      </c>
      <c r="D6" s="12">
        <v>366</v>
      </c>
      <c r="E6" s="12" t="s">
        <v>177</v>
      </c>
      <c r="F6" s="12"/>
    </row>
    <row r="7" spans="1:6" x14ac:dyDescent="0.25">
      <c r="A7" s="7">
        <v>47119</v>
      </c>
      <c r="B7" s="7">
        <v>47483</v>
      </c>
      <c r="C7" s="12">
        <v>11.43</v>
      </c>
      <c r="D7" s="12">
        <v>365</v>
      </c>
      <c r="E7" s="12" t="s">
        <v>177</v>
      </c>
      <c r="F7" s="12"/>
    </row>
    <row r="8" spans="1:6" x14ac:dyDescent="0.25">
      <c r="A8" s="7">
        <v>47484</v>
      </c>
      <c r="B8" s="7">
        <v>47848</v>
      </c>
      <c r="C8" s="12">
        <v>11.43</v>
      </c>
      <c r="D8" s="12">
        <v>365</v>
      </c>
      <c r="E8" s="12" t="s">
        <v>177</v>
      </c>
      <c r="F8" s="12"/>
    </row>
    <row r="9" spans="1:6" x14ac:dyDescent="0.25">
      <c r="A9" s="7">
        <v>47849</v>
      </c>
      <c r="B9" s="7">
        <v>48213</v>
      </c>
      <c r="C9" s="12">
        <v>11.43</v>
      </c>
      <c r="D9" s="12">
        <v>365</v>
      </c>
      <c r="E9" s="12" t="s">
        <v>177</v>
      </c>
      <c r="F9" s="12"/>
    </row>
    <row r="10" spans="1:6" x14ac:dyDescent="0.25">
      <c r="A10" s="7">
        <v>48214</v>
      </c>
      <c r="B10" s="7">
        <v>48579</v>
      </c>
      <c r="C10" s="12">
        <v>11.43</v>
      </c>
      <c r="D10" s="12">
        <v>366</v>
      </c>
      <c r="E10" s="12" t="s">
        <v>177</v>
      </c>
      <c r="F10" s="12"/>
    </row>
    <row r="11" spans="1:6" x14ac:dyDescent="0.25">
      <c r="A11" s="7">
        <v>48580</v>
      </c>
      <c r="B11" s="7">
        <v>48944</v>
      </c>
      <c r="C11" s="12">
        <v>11.43</v>
      </c>
      <c r="D11" s="12">
        <v>365</v>
      </c>
      <c r="E11" s="12" t="s">
        <v>177</v>
      </c>
      <c r="F11" s="12"/>
    </row>
    <row r="12" spans="1:6" x14ac:dyDescent="0.25">
      <c r="A12" s="7">
        <v>48945</v>
      </c>
      <c r="B12" s="7">
        <v>49309</v>
      </c>
      <c r="C12" s="12">
        <v>11.43</v>
      </c>
      <c r="D12" s="12">
        <v>365</v>
      </c>
      <c r="E12" s="12" t="s">
        <v>177</v>
      </c>
      <c r="F12" s="12"/>
    </row>
    <row r="13" spans="1:6" x14ac:dyDescent="0.25">
      <c r="A13" s="7">
        <v>49310</v>
      </c>
      <c r="B13" s="7">
        <v>49674</v>
      </c>
      <c r="C13" s="12">
        <v>11.43</v>
      </c>
      <c r="D13" s="12">
        <v>365</v>
      </c>
      <c r="E13" s="12" t="s">
        <v>177</v>
      </c>
      <c r="F13" s="12"/>
    </row>
    <row r="14" spans="1:6" x14ac:dyDescent="0.25">
      <c r="A14" s="7">
        <v>49675</v>
      </c>
      <c r="B14" s="7">
        <v>50040</v>
      </c>
      <c r="C14" s="12">
        <v>11.43</v>
      </c>
      <c r="D14" s="12">
        <v>366</v>
      </c>
      <c r="E14" s="12" t="s">
        <v>177</v>
      </c>
      <c r="F14" s="12"/>
    </row>
    <row r="15" spans="1:6" x14ac:dyDescent="0.25">
      <c r="A15" s="7">
        <v>50041</v>
      </c>
      <c r="B15" s="7">
        <v>50405</v>
      </c>
      <c r="C15" s="12">
        <v>11.43</v>
      </c>
      <c r="D15" s="12">
        <v>365</v>
      </c>
      <c r="E15" s="12" t="s">
        <v>177</v>
      </c>
      <c r="F15" s="12"/>
    </row>
    <row r="16" spans="1:6" x14ac:dyDescent="0.25">
      <c r="A16" s="7">
        <v>50406</v>
      </c>
      <c r="B16" s="7">
        <v>50770</v>
      </c>
      <c r="C16" s="12">
        <v>11.43</v>
      </c>
      <c r="D16" s="12">
        <v>365</v>
      </c>
      <c r="E16" s="12" t="s">
        <v>177</v>
      </c>
      <c r="F16" s="12"/>
    </row>
    <row r="17" spans="1:6" x14ac:dyDescent="0.25">
      <c r="A17" s="7">
        <v>50771</v>
      </c>
      <c r="B17" s="7">
        <v>51135</v>
      </c>
      <c r="C17" s="12">
        <v>11.43</v>
      </c>
      <c r="D17" s="12">
        <v>365</v>
      </c>
      <c r="E17" s="12" t="s">
        <v>177</v>
      </c>
      <c r="F17" s="12"/>
    </row>
    <row r="18" spans="1:6" x14ac:dyDescent="0.25">
      <c r="A18" s="7">
        <v>51136</v>
      </c>
      <c r="B18" s="7">
        <v>51501</v>
      </c>
      <c r="C18" s="12">
        <v>11.43</v>
      </c>
      <c r="D18" s="12">
        <v>366</v>
      </c>
      <c r="E18" s="12" t="s">
        <v>177</v>
      </c>
      <c r="F18" s="12"/>
    </row>
    <row r="19" spans="1:6" x14ac:dyDescent="0.25">
      <c r="A19" s="7">
        <v>51502</v>
      </c>
      <c r="B19" s="7">
        <v>51866</v>
      </c>
      <c r="C19" s="12">
        <v>11.43</v>
      </c>
      <c r="D19" s="12">
        <v>365</v>
      </c>
      <c r="E19" s="12" t="s">
        <v>177</v>
      </c>
      <c r="F19" s="12"/>
    </row>
    <row r="20" spans="1:6" x14ac:dyDescent="0.25">
      <c r="A20" s="7">
        <v>51867</v>
      </c>
      <c r="B20" s="7">
        <v>52231</v>
      </c>
      <c r="C20" s="12">
        <v>11.43</v>
      </c>
      <c r="D20" s="12">
        <v>365</v>
      </c>
      <c r="E20" s="12" t="s">
        <v>177</v>
      </c>
      <c r="F20" s="12"/>
    </row>
    <row r="21" spans="1:6" x14ac:dyDescent="0.25">
      <c r="A21" s="7">
        <v>52232</v>
      </c>
      <c r="B21" s="7">
        <v>52596</v>
      </c>
      <c r="C21" s="12">
        <v>11.43</v>
      </c>
      <c r="D21" s="12">
        <v>365</v>
      </c>
      <c r="E21" s="12" t="s">
        <v>177</v>
      </c>
      <c r="F21" s="12"/>
    </row>
    <row r="22" spans="1:6" x14ac:dyDescent="0.25">
      <c r="A22" s="7">
        <v>52597</v>
      </c>
      <c r="B22" s="7">
        <v>52962</v>
      </c>
      <c r="C22" s="12">
        <v>11.43</v>
      </c>
      <c r="D22" s="12">
        <v>366</v>
      </c>
      <c r="E22" s="12" t="s">
        <v>177</v>
      </c>
      <c r="F22" s="12"/>
    </row>
    <row r="23" spans="1:6" x14ac:dyDescent="0.25">
      <c r="A23" s="7">
        <v>52963</v>
      </c>
      <c r="B23" s="7">
        <v>53327</v>
      </c>
      <c r="C23" s="12">
        <v>11.43</v>
      </c>
      <c r="D23" s="12">
        <v>365</v>
      </c>
      <c r="E23" s="12" t="s">
        <v>177</v>
      </c>
      <c r="F23" s="12"/>
    </row>
    <row r="24" spans="1:6" x14ac:dyDescent="0.25">
      <c r="A24" s="7">
        <v>53328</v>
      </c>
      <c r="B24" s="7">
        <v>53692</v>
      </c>
      <c r="C24" s="12">
        <v>11.43</v>
      </c>
      <c r="D24" s="12">
        <v>365</v>
      </c>
      <c r="E24" s="12" t="s">
        <v>177</v>
      </c>
      <c r="F24" s="12"/>
    </row>
    <row r="25" spans="1:6" x14ac:dyDescent="0.25">
      <c r="A25" s="7">
        <v>53693</v>
      </c>
      <c r="B25" s="7">
        <v>54057</v>
      </c>
      <c r="C25" s="12">
        <v>11.43</v>
      </c>
      <c r="D25" s="12">
        <v>365</v>
      </c>
      <c r="E25" s="12" t="s">
        <v>177</v>
      </c>
      <c r="F25" s="12"/>
    </row>
    <row r="26" spans="1:6" x14ac:dyDescent="0.25">
      <c r="A26" s="7">
        <v>54058</v>
      </c>
      <c r="B26" s="7">
        <v>54423</v>
      </c>
      <c r="C26" s="12">
        <v>11.43</v>
      </c>
      <c r="D26" s="12">
        <v>366</v>
      </c>
      <c r="E26" s="12" t="s">
        <v>177</v>
      </c>
      <c r="F26" s="12"/>
    </row>
    <row r="27" spans="1:6" x14ac:dyDescent="0.25">
      <c r="A27" s="7">
        <v>54424</v>
      </c>
      <c r="B27" s="7">
        <v>54788</v>
      </c>
      <c r="C27" s="12">
        <v>11.43</v>
      </c>
      <c r="D27" s="12">
        <v>365</v>
      </c>
      <c r="E27" s="12" t="s">
        <v>177</v>
      </c>
      <c r="F27" s="12"/>
    </row>
    <row r="28" spans="1:6" x14ac:dyDescent="0.25">
      <c r="A28" s="7">
        <v>54789</v>
      </c>
      <c r="B28" s="7">
        <v>55153</v>
      </c>
      <c r="C28" s="12">
        <v>11.43</v>
      </c>
      <c r="D28" s="12">
        <v>365</v>
      </c>
      <c r="E28" s="12" t="s">
        <v>177</v>
      </c>
      <c r="F28" s="12"/>
    </row>
    <row r="29" spans="1:6" x14ac:dyDescent="0.25">
      <c r="A29" s="7">
        <v>55154</v>
      </c>
      <c r="B29" s="7">
        <v>55518</v>
      </c>
      <c r="C29" s="12">
        <v>11.43</v>
      </c>
      <c r="D29" s="12">
        <v>365</v>
      </c>
      <c r="E29" s="12" t="s">
        <v>177</v>
      </c>
      <c r="F29" s="12"/>
    </row>
    <row r="30" spans="1:6" x14ac:dyDescent="0.25">
      <c r="A30" s="7">
        <v>55519</v>
      </c>
      <c r="B30" s="7">
        <v>55884</v>
      </c>
      <c r="C30" s="12">
        <v>11.43</v>
      </c>
      <c r="D30" s="12">
        <v>366</v>
      </c>
      <c r="E30" s="12" t="s">
        <v>177</v>
      </c>
      <c r="F30" s="12"/>
    </row>
    <row r="31" spans="1:6" x14ac:dyDescent="0.25">
      <c r="A31" s="7">
        <v>55885</v>
      </c>
      <c r="B31" s="7">
        <v>56249</v>
      </c>
      <c r="C31" s="12">
        <v>11.43</v>
      </c>
      <c r="D31" s="12">
        <v>365</v>
      </c>
      <c r="E31" s="12" t="s">
        <v>177</v>
      </c>
      <c r="F31" s="12"/>
    </row>
    <row r="32" spans="1:6" x14ac:dyDescent="0.25">
      <c r="A32" s="7">
        <v>56250</v>
      </c>
      <c r="B32" s="7">
        <v>56614</v>
      </c>
      <c r="C32" s="12">
        <v>11.43</v>
      </c>
      <c r="D32" s="12">
        <v>365</v>
      </c>
      <c r="E32" s="12" t="s">
        <v>177</v>
      </c>
      <c r="F32" s="12"/>
    </row>
    <row r="33" spans="1:6" x14ac:dyDescent="0.25">
      <c r="A33" s="7">
        <v>56615</v>
      </c>
      <c r="B33" s="7">
        <v>56979</v>
      </c>
      <c r="C33" s="12">
        <v>11.43</v>
      </c>
      <c r="D33" s="12">
        <v>365</v>
      </c>
      <c r="E33" s="12" t="s">
        <v>177</v>
      </c>
      <c r="F33" s="12"/>
    </row>
    <row r="34" spans="1:6" x14ac:dyDescent="0.25">
      <c r="A34" s="7">
        <v>56980</v>
      </c>
      <c r="B34" s="7">
        <v>57345</v>
      </c>
      <c r="C34" s="12">
        <v>11.43</v>
      </c>
      <c r="D34" s="12">
        <v>366</v>
      </c>
      <c r="E34" s="12" t="s">
        <v>177</v>
      </c>
      <c r="F34" s="12"/>
    </row>
    <row r="35" spans="1:6" x14ac:dyDescent="0.25">
      <c r="A35" s="7">
        <v>57346</v>
      </c>
      <c r="B35" s="7">
        <v>57710</v>
      </c>
      <c r="C35" s="12">
        <v>11.43</v>
      </c>
      <c r="D35" s="12">
        <v>365</v>
      </c>
      <c r="E35" s="12" t="s">
        <v>177</v>
      </c>
      <c r="F35" s="12"/>
    </row>
    <row r="36" spans="1:6" x14ac:dyDescent="0.25">
      <c r="A36" s="7">
        <v>57711</v>
      </c>
      <c r="B36" s="7">
        <v>58075</v>
      </c>
      <c r="C36" s="12">
        <v>11.43</v>
      </c>
      <c r="D36" s="12">
        <v>365</v>
      </c>
      <c r="E36" s="12" t="s">
        <v>177</v>
      </c>
      <c r="F36" s="12"/>
    </row>
    <row r="37" spans="1:6" x14ac:dyDescent="0.25">
      <c r="A37" s="7">
        <v>58076</v>
      </c>
      <c r="B37" s="7">
        <v>58440</v>
      </c>
      <c r="C37" s="12">
        <v>11.43</v>
      </c>
      <c r="D37" s="12">
        <v>365</v>
      </c>
      <c r="E37" s="12" t="s">
        <v>177</v>
      </c>
      <c r="F37" s="12"/>
    </row>
    <row r="38" spans="1:6" x14ac:dyDescent="0.25">
      <c r="A38" s="7">
        <v>58441</v>
      </c>
      <c r="B38" s="7">
        <v>58806</v>
      </c>
      <c r="C38" s="12">
        <v>11.43</v>
      </c>
      <c r="D38" s="12">
        <v>366</v>
      </c>
      <c r="E38" s="12" t="s">
        <v>177</v>
      </c>
      <c r="F38" s="12"/>
    </row>
    <row r="39" spans="1:6" x14ac:dyDescent="0.25">
      <c r="A39" s="7">
        <v>58807</v>
      </c>
      <c r="B39" s="7">
        <v>59171</v>
      </c>
      <c r="C39" s="12">
        <v>11.43</v>
      </c>
      <c r="D39" s="12">
        <v>365</v>
      </c>
      <c r="E39" s="12" t="s">
        <v>177</v>
      </c>
      <c r="F39" s="12"/>
    </row>
    <row r="40" spans="1:6" x14ac:dyDescent="0.25">
      <c r="A40" s="7">
        <v>59172</v>
      </c>
      <c r="B40" s="7">
        <v>59536</v>
      </c>
      <c r="C40" s="12">
        <v>11.43</v>
      </c>
      <c r="D40" s="12">
        <v>365</v>
      </c>
      <c r="E40" s="12" t="s">
        <v>177</v>
      </c>
      <c r="F40" s="12"/>
    </row>
    <row r="41" spans="1:6" x14ac:dyDescent="0.25">
      <c r="A41" s="7">
        <v>59537</v>
      </c>
      <c r="B41" s="7">
        <v>59901</v>
      </c>
      <c r="C41" s="12">
        <v>11.43</v>
      </c>
      <c r="D41" s="12">
        <v>365</v>
      </c>
      <c r="E41" s="12" t="s">
        <v>177</v>
      </c>
      <c r="F41" s="12"/>
    </row>
    <row r="42" spans="1:6" x14ac:dyDescent="0.25">
      <c r="A42" s="7">
        <v>59902</v>
      </c>
      <c r="B42" s="7">
        <v>60267</v>
      </c>
      <c r="C42" s="12">
        <v>11.43</v>
      </c>
      <c r="D42" s="12">
        <v>366</v>
      </c>
      <c r="E42" s="12" t="s">
        <v>177</v>
      </c>
      <c r="F42" s="12"/>
    </row>
    <row r="43" spans="1:6" x14ac:dyDescent="0.25">
      <c r="A43" s="7">
        <v>60268</v>
      </c>
      <c r="B43" s="7">
        <v>60632</v>
      </c>
      <c r="C43" s="12">
        <v>11.43</v>
      </c>
      <c r="D43" s="12">
        <v>365</v>
      </c>
      <c r="E43" s="12" t="s">
        <v>177</v>
      </c>
      <c r="F43" s="12"/>
    </row>
    <row r="44" spans="1:6" x14ac:dyDescent="0.25">
      <c r="A44" s="7">
        <v>60633</v>
      </c>
      <c r="B44" s="7">
        <v>60997</v>
      </c>
      <c r="C44" s="12">
        <v>11.43</v>
      </c>
      <c r="D44" s="12">
        <v>365</v>
      </c>
      <c r="E44" s="12" t="s">
        <v>177</v>
      </c>
      <c r="F44" s="12"/>
    </row>
    <row r="45" spans="1:6" x14ac:dyDescent="0.25">
      <c r="A45" s="7">
        <v>60998</v>
      </c>
      <c r="B45" s="7">
        <v>61362</v>
      </c>
      <c r="C45" s="12">
        <v>11.43</v>
      </c>
      <c r="D45" s="12">
        <v>365</v>
      </c>
      <c r="E45" s="12" t="s">
        <v>177</v>
      </c>
      <c r="F45" s="12"/>
    </row>
    <row r="46" spans="1:6" x14ac:dyDescent="0.25">
      <c r="A46" s="7">
        <v>61363</v>
      </c>
      <c r="B46" s="7">
        <v>61728</v>
      </c>
      <c r="C46" s="12">
        <v>11.43</v>
      </c>
      <c r="D46" s="12">
        <v>366</v>
      </c>
      <c r="E46" s="12" t="s">
        <v>177</v>
      </c>
      <c r="F46" s="12"/>
    </row>
    <row r="47" spans="1:6" x14ac:dyDescent="0.25">
      <c r="A47" s="7">
        <v>61729</v>
      </c>
      <c r="B47" s="7">
        <v>62093</v>
      </c>
      <c r="C47" s="12">
        <v>11.43</v>
      </c>
      <c r="D47" s="12">
        <v>365</v>
      </c>
      <c r="E47" s="12" t="s">
        <v>177</v>
      </c>
      <c r="F47" s="12"/>
    </row>
    <row r="48" spans="1:6" x14ac:dyDescent="0.25">
      <c r="A48" s="7">
        <v>62094</v>
      </c>
      <c r="B48" s="7">
        <v>62458</v>
      </c>
      <c r="C48" s="12">
        <v>11.43</v>
      </c>
      <c r="D48" s="12">
        <v>365</v>
      </c>
      <c r="E48" s="12" t="s">
        <v>177</v>
      </c>
      <c r="F48" s="12"/>
    </row>
    <row r="49" spans="1:6" x14ac:dyDescent="0.25">
      <c r="A49" s="7">
        <v>62459</v>
      </c>
      <c r="B49" s="7">
        <v>62823</v>
      </c>
      <c r="C49" s="12">
        <v>11.43</v>
      </c>
      <c r="D49" s="12">
        <v>365</v>
      </c>
      <c r="E49" s="12" t="s">
        <v>177</v>
      </c>
      <c r="F49" s="12"/>
    </row>
    <row r="50" spans="1:6" x14ac:dyDescent="0.25">
      <c r="A50" s="7">
        <v>62824</v>
      </c>
      <c r="B50" s="7">
        <v>63189</v>
      </c>
      <c r="C50" s="12">
        <v>11.43</v>
      </c>
      <c r="D50" s="12">
        <v>366</v>
      </c>
      <c r="E50" s="12" t="s">
        <v>177</v>
      </c>
      <c r="F50" s="12"/>
    </row>
    <row r="51" spans="1:6" x14ac:dyDescent="0.25">
      <c r="A51" s="7">
        <v>63190</v>
      </c>
      <c r="B51" s="7">
        <v>63554</v>
      </c>
      <c r="C51" s="12">
        <v>11.43</v>
      </c>
      <c r="D51" s="12">
        <v>365</v>
      </c>
      <c r="E51" s="12" t="s">
        <v>177</v>
      </c>
      <c r="F51" s="12"/>
    </row>
    <row r="52" spans="1:6" x14ac:dyDescent="0.25">
      <c r="A52" s="7">
        <v>63555</v>
      </c>
      <c r="B52" s="7">
        <v>63919</v>
      </c>
      <c r="C52" s="12">
        <v>11.43</v>
      </c>
      <c r="D52" s="12">
        <v>365</v>
      </c>
      <c r="E52" s="12" t="s">
        <v>177</v>
      </c>
      <c r="F52" s="12"/>
    </row>
    <row r="53" spans="1:6" x14ac:dyDescent="0.25">
      <c r="A53" s="7">
        <v>63920</v>
      </c>
      <c r="B53" s="7">
        <v>64284</v>
      </c>
      <c r="C53" s="12">
        <v>11.43</v>
      </c>
      <c r="D53" s="12">
        <v>365</v>
      </c>
      <c r="E53" s="12" t="s">
        <v>177</v>
      </c>
      <c r="F53" s="12"/>
    </row>
    <row r="54" spans="1:6" x14ac:dyDescent="0.25">
      <c r="A54" s="7">
        <v>64285</v>
      </c>
      <c r="B54" s="7">
        <v>64650</v>
      </c>
      <c r="C54" s="12">
        <v>11.43</v>
      </c>
      <c r="D54" s="12">
        <v>366</v>
      </c>
      <c r="E54" s="12" t="s">
        <v>177</v>
      </c>
      <c r="F54" s="12"/>
    </row>
    <row r="55" spans="1:6" x14ac:dyDescent="0.25">
      <c r="A55" s="7">
        <v>64651</v>
      </c>
      <c r="B55" s="7">
        <v>65015</v>
      </c>
      <c r="C55" s="12">
        <v>11.43</v>
      </c>
      <c r="D55" s="12">
        <v>365</v>
      </c>
      <c r="E55" s="12" t="s">
        <v>177</v>
      </c>
      <c r="F55" s="12"/>
    </row>
    <row r="56" spans="1:6" x14ac:dyDescent="0.25">
      <c r="A56" s="7">
        <v>65016</v>
      </c>
      <c r="B56" s="7">
        <v>65380</v>
      </c>
      <c r="C56" s="12">
        <v>11.43</v>
      </c>
      <c r="D56" s="12">
        <v>365</v>
      </c>
      <c r="E56" s="12" t="s">
        <v>177</v>
      </c>
      <c r="F56" s="12"/>
    </row>
    <row r="57" spans="1:6" x14ac:dyDescent="0.25">
      <c r="A57" s="7">
        <v>65381</v>
      </c>
      <c r="B57" s="7">
        <v>65745</v>
      </c>
      <c r="C57" s="12">
        <v>11.43</v>
      </c>
      <c r="D57" s="12">
        <v>365</v>
      </c>
      <c r="E57" s="12" t="s">
        <v>177</v>
      </c>
      <c r="F57" s="12"/>
    </row>
    <row r="58" spans="1:6" x14ac:dyDescent="0.25">
      <c r="A58" s="7">
        <v>65746</v>
      </c>
      <c r="B58" s="7">
        <v>66111</v>
      </c>
      <c r="C58" s="12">
        <v>11.43</v>
      </c>
      <c r="D58" s="12">
        <v>366</v>
      </c>
      <c r="E58" s="12" t="s">
        <v>177</v>
      </c>
      <c r="F58" s="12"/>
    </row>
    <row r="59" spans="1:6" x14ac:dyDescent="0.25">
      <c r="A59" s="7">
        <v>66112</v>
      </c>
      <c r="B59" s="7">
        <v>66476</v>
      </c>
      <c r="C59" s="12">
        <v>11.43</v>
      </c>
      <c r="D59" s="12">
        <v>365</v>
      </c>
      <c r="E59" s="12" t="s">
        <v>177</v>
      </c>
      <c r="F59" s="12"/>
    </row>
    <row r="60" spans="1:6" x14ac:dyDescent="0.25">
      <c r="A60" s="7">
        <v>66477</v>
      </c>
      <c r="B60" s="7">
        <v>66841</v>
      </c>
      <c r="C60" s="12">
        <v>11.43</v>
      </c>
      <c r="D60" s="12">
        <v>365</v>
      </c>
      <c r="E60" s="12" t="s">
        <v>177</v>
      </c>
      <c r="F60" s="12"/>
    </row>
    <row r="61" spans="1:6" x14ac:dyDescent="0.25">
      <c r="A61" s="7">
        <v>66842</v>
      </c>
      <c r="B61" s="7">
        <v>67206</v>
      </c>
      <c r="C61" s="12">
        <v>11.43</v>
      </c>
      <c r="D61" s="12">
        <v>365</v>
      </c>
      <c r="E61" s="12" t="s">
        <v>177</v>
      </c>
      <c r="F61" s="12"/>
    </row>
    <row r="62" spans="1:6" x14ac:dyDescent="0.25">
      <c r="A62" s="7">
        <v>67207</v>
      </c>
      <c r="B62" s="7">
        <v>67572</v>
      </c>
      <c r="C62" s="12">
        <v>11.43</v>
      </c>
      <c r="D62" s="12">
        <v>366</v>
      </c>
      <c r="E62" s="12" t="s">
        <v>177</v>
      </c>
      <c r="F62" s="12"/>
    </row>
    <row r="63" spans="1:6" x14ac:dyDescent="0.25">
      <c r="A63" s="7">
        <v>67573</v>
      </c>
      <c r="B63" s="7">
        <v>67937</v>
      </c>
      <c r="C63" s="12">
        <v>11.43</v>
      </c>
      <c r="D63" s="12">
        <v>365</v>
      </c>
      <c r="E63" s="12" t="s">
        <v>177</v>
      </c>
      <c r="F63" s="12"/>
    </row>
    <row r="64" spans="1:6" x14ac:dyDescent="0.25">
      <c r="A64" s="7">
        <v>67938</v>
      </c>
      <c r="B64" s="7">
        <v>68302</v>
      </c>
      <c r="C64" s="12">
        <v>11.43</v>
      </c>
      <c r="D64" s="12">
        <v>365</v>
      </c>
      <c r="E64" s="12" t="s">
        <v>177</v>
      </c>
      <c r="F64" s="12"/>
    </row>
    <row r="65" spans="1:6" x14ac:dyDescent="0.25">
      <c r="A65" s="7">
        <v>68303</v>
      </c>
      <c r="B65" s="7">
        <v>68667</v>
      </c>
      <c r="C65" s="12">
        <v>11.43</v>
      </c>
      <c r="D65" s="12">
        <v>365</v>
      </c>
      <c r="E65" s="12" t="s">
        <v>177</v>
      </c>
      <c r="F65" s="12"/>
    </row>
    <row r="66" spans="1:6" x14ac:dyDescent="0.25">
      <c r="A66" s="7">
        <v>68668</v>
      </c>
      <c r="B66" s="7">
        <v>69033</v>
      </c>
      <c r="C66" s="12">
        <v>11.43</v>
      </c>
      <c r="D66" s="12">
        <v>366</v>
      </c>
      <c r="E66" s="12" t="s">
        <v>177</v>
      </c>
      <c r="F66" s="12"/>
    </row>
    <row r="67" spans="1:6" x14ac:dyDescent="0.25">
      <c r="A67" s="7">
        <v>69034</v>
      </c>
      <c r="B67" s="7">
        <v>69398</v>
      </c>
      <c r="C67" s="12">
        <v>11.43</v>
      </c>
      <c r="D67" s="12">
        <v>365</v>
      </c>
      <c r="E67" s="12" t="s">
        <v>177</v>
      </c>
      <c r="F67" s="12"/>
    </row>
    <row r="68" spans="1:6" x14ac:dyDescent="0.25">
      <c r="A68" s="7">
        <v>69399</v>
      </c>
      <c r="B68" s="7">
        <v>69763</v>
      </c>
      <c r="C68" s="12">
        <v>11.43</v>
      </c>
      <c r="D68" s="12">
        <v>365</v>
      </c>
      <c r="E68" s="12" t="s">
        <v>177</v>
      </c>
      <c r="F68" s="12"/>
    </row>
    <row r="69" spans="1:6" x14ac:dyDescent="0.25">
      <c r="A69" s="7">
        <v>69764</v>
      </c>
      <c r="B69" s="7">
        <v>70128</v>
      </c>
      <c r="C69" s="12">
        <v>11.43</v>
      </c>
      <c r="D69" s="12">
        <v>365</v>
      </c>
      <c r="E69" s="12" t="s">
        <v>177</v>
      </c>
      <c r="F69" s="12"/>
    </row>
    <row r="70" spans="1:6" x14ac:dyDescent="0.25">
      <c r="A70" s="7">
        <v>70129</v>
      </c>
      <c r="B70" s="7">
        <v>70494</v>
      </c>
      <c r="C70" s="12">
        <v>11.43</v>
      </c>
      <c r="D70" s="12">
        <v>366</v>
      </c>
      <c r="E70" s="12" t="s">
        <v>177</v>
      </c>
      <c r="F70" s="12"/>
    </row>
    <row r="71" spans="1:6" x14ac:dyDescent="0.25">
      <c r="A71" s="7">
        <v>70495</v>
      </c>
      <c r="B71" s="7">
        <v>70859</v>
      </c>
      <c r="C71" s="12">
        <v>11.43</v>
      </c>
      <c r="D71" s="12">
        <v>365</v>
      </c>
      <c r="E71" s="12" t="s">
        <v>177</v>
      </c>
      <c r="F71" s="12"/>
    </row>
    <row r="72" spans="1:6" x14ac:dyDescent="0.25">
      <c r="A72" s="7">
        <v>70860</v>
      </c>
      <c r="B72" s="7">
        <v>71224</v>
      </c>
      <c r="C72" s="12">
        <v>11.43</v>
      </c>
      <c r="D72" s="12">
        <v>365</v>
      </c>
      <c r="E72" s="12" t="s">
        <v>177</v>
      </c>
      <c r="F72" s="12"/>
    </row>
    <row r="73" spans="1:6" x14ac:dyDescent="0.25">
      <c r="A73" s="7">
        <v>71225</v>
      </c>
      <c r="B73" s="7">
        <v>71589</v>
      </c>
      <c r="C73" s="12">
        <v>11.43</v>
      </c>
      <c r="D73" s="12">
        <v>365</v>
      </c>
      <c r="E73" s="12" t="s">
        <v>177</v>
      </c>
      <c r="F73" s="12"/>
    </row>
    <row r="74" spans="1:6" x14ac:dyDescent="0.25">
      <c r="A74" s="7">
        <v>71590</v>
      </c>
      <c r="B74" s="7">
        <v>71955</v>
      </c>
      <c r="C74" s="12">
        <v>11.43</v>
      </c>
      <c r="D74" s="12">
        <v>366</v>
      </c>
      <c r="E74" s="12" t="s">
        <v>177</v>
      </c>
      <c r="F74" s="12"/>
    </row>
    <row r="75" spans="1:6" x14ac:dyDescent="0.25">
      <c r="A75" s="7">
        <v>71956</v>
      </c>
      <c r="B75" s="7">
        <v>72320</v>
      </c>
      <c r="C75" s="12">
        <v>11.43</v>
      </c>
      <c r="D75" s="12">
        <v>365</v>
      </c>
      <c r="E75" s="12" t="s">
        <v>177</v>
      </c>
      <c r="F75" s="12"/>
    </row>
    <row r="76" spans="1:6" x14ac:dyDescent="0.25">
      <c r="A76" s="7">
        <v>72321</v>
      </c>
      <c r="B76" s="7">
        <v>72685</v>
      </c>
      <c r="C76" s="12">
        <v>11.43</v>
      </c>
      <c r="D76" s="12">
        <v>365</v>
      </c>
      <c r="E76" s="12" t="s">
        <v>177</v>
      </c>
      <c r="F76" s="12"/>
    </row>
    <row r="77" spans="1:6" x14ac:dyDescent="0.25">
      <c r="A77" s="7">
        <v>72686</v>
      </c>
      <c r="B77" s="7">
        <v>73050</v>
      </c>
      <c r="C77" s="12">
        <v>11.43</v>
      </c>
      <c r="D77" s="12">
        <v>365</v>
      </c>
      <c r="E77" s="12" t="s">
        <v>177</v>
      </c>
      <c r="F77" s="12"/>
    </row>
    <row r="78" spans="1:6" x14ac:dyDescent="0.25">
      <c r="A78" s="7">
        <v>73051</v>
      </c>
      <c r="B78" s="7">
        <v>73415</v>
      </c>
      <c r="C78" s="12">
        <v>11.43</v>
      </c>
      <c r="D78" s="12">
        <v>365</v>
      </c>
      <c r="E78" s="12" t="s">
        <v>177</v>
      </c>
      <c r="F78" s="12"/>
    </row>
    <row r="79" spans="1:6" x14ac:dyDescent="0.25">
      <c r="A79" s="7">
        <v>73416</v>
      </c>
      <c r="B79" s="7">
        <v>73780</v>
      </c>
      <c r="C79" s="12">
        <v>11.43</v>
      </c>
      <c r="D79" s="12">
        <v>365</v>
      </c>
      <c r="E79" s="12" t="s">
        <v>177</v>
      </c>
      <c r="F79" s="12"/>
    </row>
    <row r="80" spans="1:6" x14ac:dyDescent="0.25">
      <c r="A80" s="7">
        <v>73781</v>
      </c>
      <c r="B80" s="7">
        <v>74145</v>
      </c>
      <c r="C80" s="12">
        <v>11.43</v>
      </c>
      <c r="D80" s="12">
        <v>365</v>
      </c>
      <c r="E80" s="12" t="s">
        <v>177</v>
      </c>
      <c r="F80" s="12"/>
    </row>
    <row r="81" spans="1:6" x14ac:dyDescent="0.25">
      <c r="A81" s="7">
        <v>74146</v>
      </c>
      <c r="B81" s="7">
        <v>74510</v>
      </c>
      <c r="C81" s="12">
        <v>11.43</v>
      </c>
      <c r="D81" s="12">
        <v>365</v>
      </c>
      <c r="E81" s="12" t="s">
        <v>177</v>
      </c>
      <c r="F81" s="12"/>
    </row>
    <row r="82" spans="1:6" x14ac:dyDescent="0.25">
      <c r="A82" s="7">
        <v>74511</v>
      </c>
      <c r="B82" s="7">
        <v>74876</v>
      </c>
      <c r="C82" s="12">
        <v>11.43</v>
      </c>
      <c r="D82" s="12">
        <v>366</v>
      </c>
      <c r="E82" s="12" t="s">
        <v>177</v>
      </c>
      <c r="F82" s="12"/>
    </row>
    <row r="83" spans="1:6" x14ac:dyDescent="0.25">
      <c r="A83" s="7">
        <v>74877</v>
      </c>
      <c r="B83" s="7">
        <v>75241</v>
      </c>
      <c r="C83" s="12">
        <v>11.43</v>
      </c>
      <c r="D83" s="12">
        <v>365</v>
      </c>
      <c r="E83" s="12" t="s">
        <v>177</v>
      </c>
      <c r="F83" s="12"/>
    </row>
    <row r="84" spans="1:6" x14ac:dyDescent="0.25">
      <c r="A84" s="7">
        <v>75242</v>
      </c>
      <c r="B84" s="7">
        <v>75606</v>
      </c>
      <c r="C84" s="12">
        <v>11.43</v>
      </c>
      <c r="D84" s="12">
        <v>365</v>
      </c>
      <c r="E84" s="12" t="s">
        <v>177</v>
      </c>
      <c r="F84" s="12"/>
    </row>
    <row r="85" spans="1:6" x14ac:dyDescent="0.25">
      <c r="A85" s="7">
        <v>75607</v>
      </c>
      <c r="B85" s="7">
        <v>75971</v>
      </c>
      <c r="C85" s="12">
        <v>11.43</v>
      </c>
      <c r="D85" s="12">
        <v>365</v>
      </c>
      <c r="E85" s="12" t="s">
        <v>177</v>
      </c>
      <c r="F85" s="12"/>
    </row>
    <row r="86" spans="1:6" x14ac:dyDescent="0.25">
      <c r="A86" s="7">
        <v>75972</v>
      </c>
      <c r="B86" s="7">
        <v>76337</v>
      </c>
      <c r="C86" s="12">
        <v>11.43</v>
      </c>
      <c r="D86" s="12">
        <v>366</v>
      </c>
      <c r="E86" s="12" t="s">
        <v>177</v>
      </c>
      <c r="F86" s="12"/>
    </row>
    <row r="87" spans="1:6" x14ac:dyDescent="0.25">
      <c r="A87" s="7">
        <v>76338</v>
      </c>
      <c r="B87" s="7">
        <v>76702</v>
      </c>
      <c r="C87" s="12">
        <v>11.43</v>
      </c>
      <c r="D87" s="12">
        <v>365</v>
      </c>
      <c r="E87" s="12" t="s">
        <v>177</v>
      </c>
      <c r="F87" s="12"/>
    </row>
    <row r="88" spans="1:6" x14ac:dyDescent="0.25">
      <c r="A88" s="7">
        <v>76703</v>
      </c>
      <c r="B88" s="7">
        <v>77067</v>
      </c>
      <c r="C88" s="12">
        <v>11.43</v>
      </c>
      <c r="D88" s="12">
        <v>365</v>
      </c>
      <c r="E88" s="12" t="s">
        <v>177</v>
      </c>
      <c r="F88" s="12"/>
    </row>
    <row r="89" spans="1:6" x14ac:dyDescent="0.25">
      <c r="A89" s="7">
        <v>77068</v>
      </c>
      <c r="B89" s="7">
        <v>77432</v>
      </c>
      <c r="C89" s="12">
        <v>11.43</v>
      </c>
      <c r="D89" s="12">
        <v>365</v>
      </c>
      <c r="E89" s="12" t="s">
        <v>177</v>
      </c>
      <c r="F89" s="12"/>
    </row>
    <row r="90" spans="1:6" x14ac:dyDescent="0.25">
      <c r="A90" s="7">
        <v>77433</v>
      </c>
      <c r="B90" s="7">
        <v>77798</v>
      </c>
      <c r="C90" s="12">
        <v>11.43</v>
      </c>
      <c r="D90" s="12">
        <v>366</v>
      </c>
      <c r="E90" s="12" t="s">
        <v>177</v>
      </c>
      <c r="F90" s="12"/>
    </row>
    <row r="91" spans="1:6" x14ac:dyDescent="0.25">
      <c r="A91" s="7">
        <v>77799</v>
      </c>
      <c r="B91" s="7">
        <v>78163</v>
      </c>
      <c r="C91" s="12">
        <v>11.43</v>
      </c>
      <c r="D91" s="12">
        <v>365</v>
      </c>
      <c r="E91" s="12" t="s">
        <v>177</v>
      </c>
      <c r="F91" s="12"/>
    </row>
    <row r="92" spans="1:6" x14ac:dyDescent="0.25">
      <c r="A92" s="7">
        <v>78164</v>
      </c>
      <c r="B92" s="7">
        <v>78528</v>
      </c>
      <c r="C92" s="12">
        <v>11.43</v>
      </c>
      <c r="D92" s="12">
        <v>365</v>
      </c>
      <c r="E92" s="12" t="s">
        <v>177</v>
      </c>
      <c r="F92" s="12"/>
    </row>
    <row r="93" spans="1:6" x14ac:dyDescent="0.25">
      <c r="A93" s="7">
        <v>78529</v>
      </c>
      <c r="B93" s="7">
        <v>78893</v>
      </c>
      <c r="C93" s="12">
        <v>11.43</v>
      </c>
      <c r="D93" s="12">
        <v>365</v>
      </c>
      <c r="E93" s="12" t="s">
        <v>177</v>
      </c>
      <c r="F93" s="12"/>
    </row>
    <row r="94" spans="1:6" x14ac:dyDescent="0.25">
      <c r="A94" s="7">
        <v>78894</v>
      </c>
      <c r="B94" s="7">
        <v>79259</v>
      </c>
      <c r="C94" s="12">
        <v>11.43</v>
      </c>
      <c r="D94" s="12">
        <v>366</v>
      </c>
      <c r="E94" s="12" t="s">
        <v>177</v>
      </c>
      <c r="F94" s="12"/>
    </row>
    <row r="95" spans="1:6" x14ac:dyDescent="0.25">
      <c r="A95" s="7">
        <v>79260</v>
      </c>
      <c r="B95" s="7">
        <v>79624</v>
      </c>
      <c r="C95" s="12">
        <v>11.43</v>
      </c>
      <c r="D95" s="12">
        <v>365</v>
      </c>
      <c r="E95" s="12" t="s">
        <v>177</v>
      </c>
      <c r="F95" s="12"/>
    </row>
    <row r="96" spans="1:6" x14ac:dyDescent="0.25">
      <c r="A96" s="7">
        <v>79625</v>
      </c>
      <c r="B96" s="7">
        <v>79989</v>
      </c>
      <c r="C96" s="12">
        <v>11.43</v>
      </c>
      <c r="D96" s="12">
        <v>365</v>
      </c>
      <c r="E96" s="12" t="s">
        <v>177</v>
      </c>
      <c r="F96" s="12"/>
    </row>
    <row r="97" spans="1:6" x14ac:dyDescent="0.25">
      <c r="A97" s="7">
        <v>79990</v>
      </c>
      <c r="B97" s="7">
        <v>80354</v>
      </c>
      <c r="C97" s="12">
        <v>11.43</v>
      </c>
      <c r="D97" s="12">
        <v>365</v>
      </c>
      <c r="E97" s="12" t="s">
        <v>177</v>
      </c>
      <c r="F97" s="12"/>
    </row>
    <row r="98" spans="1:6" x14ac:dyDescent="0.25">
      <c r="A98" s="7">
        <v>80355</v>
      </c>
      <c r="B98" s="7">
        <v>80720</v>
      </c>
      <c r="C98" s="12">
        <v>11.43</v>
      </c>
      <c r="D98" s="12">
        <v>366</v>
      </c>
      <c r="E98" s="12" t="s">
        <v>177</v>
      </c>
      <c r="F98" s="12"/>
    </row>
    <row r="99" spans="1:6" x14ac:dyDescent="0.25">
      <c r="A99" s="7">
        <v>80721</v>
      </c>
      <c r="B99" s="7">
        <v>81085</v>
      </c>
      <c r="C99" s="12">
        <v>11.43</v>
      </c>
      <c r="D99" s="12">
        <v>365</v>
      </c>
      <c r="E99" s="12" t="s">
        <v>177</v>
      </c>
      <c r="F99" s="12"/>
    </row>
    <row r="100" spans="1:6" x14ac:dyDescent="0.25">
      <c r="A100" s="7">
        <v>81086</v>
      </c>
      <c r="B100" s="7">
        <v>81450</v>
      </c>
      <c r="C100" s="12">
        <v>11.43</v>
      </c>
      <c r="D100" s="12">
        <v>365</v>
      </c>
      <c r="E100" s="12" t="s">
        <v>177</v>
      </c>
      <c r="F100" s="12"/>
    </row>
    <row r="101" spans="1:6" x14ac:dyDescent="0.25">
      <c r="A101" s="7">
        <v>81451</v>
      </c>
      <c r="B101" s="7">
        <v>81815</v>
      </c>
      <c r="C101" s="12">
        <v>11.43</v>
      </c>
      <c r="D101" s="12">
        <v>365</v>
      </c>
      <c r="E101" s="12" t="s">
        <v>177</v>
      </c>
      <c r="F101" s="12"/>
    </row>
    <row r="102" spans="1:6" x14ac:dyDescent="0.25">
      <c r="A102" s="7">
        <v>81816</v>
      </c>
      <c r="B102" s="7">
        <v>82181</v>
      </c>
      <c r="C102" s="12">
        <v>11.43</v>
      </c>
      <c r="D102" s="12">
        <v>366</v>
      </c>
      <c r="E102" s="12" t="s">
        <v>177</v>
      </c>
      <c r="F102" s="12"/>
    </row>
    <row r="103" spans="1:6" x14ac:dyDescent="0.25">
      <c r="A103" s="7">
        <v>82182</v>
      </c>
      <c r="B103" s="7">
        <v>82546</v>
      </c>
      <c r="C103" s="12">
        <v>11.43</v>
      </c>
      <c r="D103" s="12">
        <v>365</v>
      </c>
      <c r="E103" s="12" t="s">
        <v>177</v>
      </c>
      <c r="F103" s="12"/>
    </row>
    <row r="104" spans="1:6" x14ac:dyDescent="0.25">
      <c r="A104" s="7">
        <v>82547</v>
      </c>
      <c r="B104" s="7">
        <v>82911</v>
      </c>
      <c r="C104" s="12">
        <v>11.43</v>
      </c>
      <c r="D104" s="12">
        <v>365</v>
      </c>
      <c r="E104" s="12" t="s">
        <v>177</v>
      </c>
      <c r="F104" s="12"/>
    </row>
    <row r="105" spans="1:6" x14ac:dyDescent="0.25">
      <c r="A105" s="7">
        <v>82912</v>
      </c>
      <c r="B105" s="7">
        <v>83276</v>
      </c>
      <c r="C105" s="12">
        <v>11.43</v>
      </c>
      <c r="D105" s="12">
        <v>365</v>
      </c>
      <c r="E105" s="12" t="s">
        <v>177</v>
      </c>
      <c r="F105" s="12"/>
    </row>
    <row r="106" spans="1:6" x14ac:dyDescent="0.25">
      <c r="A106" s="7">
        <v>83277</v>
      </c>
      <c r="B106" s="7">
        <v>83642</v>
      </c>
      <c r="C106" s="12">
        <v>11.43</v>
      </c>
      <c r="D106" s="12">
        <v>366</v>
      </c>
      <c r="E106" s="12" t="s">
        <v>177</v>
      </c>
      <c r="F106" s="12"/>
    </row>
    <row r="107" spans="1:6" x14ac:dyDescent="0.25">
      <c r="A107" s="7">
        <v>83643</v>
      </c>
      <c r="B107" s="7">
        <v>84007</v>
      </c>
      <c r="C107" s="12">
        <v>11.43</v>
      </c>
      <c r="D107" s="12">
        <v>365</v>
      </c>
      <c r="E107" s="12" t="s">
        <v>177</v>
      </c>
      <c r="F107" s="12"/>
    </row>
    <row r="108" spans="1:6" x14ac:dyDescent="0.25">
      <c r="A108" s="7">
        <v>84008</v>
      </c>
      <c r="B108" s="7">
        <v>84372</v>
      </c>
      <c r="C108" s="12">
        <v>11.43</v>
      </c>
      <c r="D108" s="12">
        <v>365</v>
      </c>
      <c r="E108" s="12" t="s">
        <v>177</v>
      </c>
      <c r="F108" s="12"/>
    </row>
    <row r="109" spans="1:6" x14ac:dyDescent="0.25">
      <c r="A109" s="7">
        <v>84373</v>
      </c>
      <c r="B109" s="7">
        <v>84737</v>
      </c>
      <c r="C109" s="12">
        <v>11.43</v>
      </c>
      <c r="D109" s="12">
        <v>365</v>
      </c>
      <c r="E109" s="12" t="s">
        <v>177</v>
      </c>
      <c r="F109" s="12"/>
    </row>
    <row r="110" spans="1:6" x14ac:dyDescent="0.25">
      <c r="A110" s="7">
        <v>84738</v>
      </c>
      <c r="B110" s="7">
        <v>85103</v>
      </c>
      <c r="C110" s="12">
        <v>11.43</v>
      </c>
      <c r="D110" s="12">
        <v>366</v>
      </c>
      <c r="E110" s="12" t="s">
        <v>177</v>
      </c>
      <c r="F110" s="12"/>
    </row>
    <row r="111" spans="1:6" x14ac:dyDescent="0.25">
      <c r="A111" s="7">
        <v>85104</v>
      </c>
      <c r="B111" s="7">
        <v>85468</v>
      </c>
      <c r="C111" s="12">
        <v>11.43</v>
      </c>
      <c r="D111" s="12">
        <v>365</v>
      </c>
      <c r="E111" s="12" t="s">
        <v>177</v>
      </c>
      <c r="F111" s="12"/>
    </row>
    <row r="112" spans="1:6" x14ac:dyDescent="0.25">
      <c r="A112" s="7">
        <v>85469</v>
      </c>
      <c r="B112" s="7">
        <v>85833</v>
      </c>
      <c r="C112" s="12">
        <v>11.43</v>
      </c>
      <c r="D112" s="12">
        <v>365</v>
      </c>
      <c r="E112" s="12" t="s">
        <v>177</v>
      </c>
      <c r="F112" s="12"/>
    </row>
    <row r="113" spans="1:6" x14ac:dyDescent="0.25">
      <c r="A113" s="7">
        <v>85834</v>
      </c>
      <c r="B113" s="7">
        <v>86198</v>
      </c>
      <c r="C113" s="12">
        <v>11.43</v>
      </c>
      <c r="D113" s="12">
        <v>365</v>
      </c>
      <c r="E113" s="12" t="s">
        <v>177</v>
      </c>
      <c r="F113" s="12"/>
    </row>
    <row r="114" spans="1:6" x14ac:dyDescent="0.25">
      <c r="A114" s="7">
        <v>86199</v>
      </c>
      <c r="B114" s="7">
        <v>86564</v>
      </c>
      <c r="C114" s="12">
        <v>11.43</v>
      </c>
      <c r="D114" s="12">
        <v>366</v>
      </c>
      <c r="E114" s="12" t="s">
        <v>177</v>
      </c>
      <c r="F114" s="12"/>
    </row>
    <row r="115" spans="1:6" x14ac:dyDescent="0.25">
      <c r="A115" s="7">
        <v>86565</v>
      </c>
      <c r="B115" s="7">
        <v>86929</v>
      </c>
      <c r="C115" s="12">
        <v>11.43</v>
      </c>
      <c r="D115" s="12">
        <v>365</v>
      </c>
      <c r="E115" s="12" t="s">
        <v>177</v>
      </c>
      <c r="F115" s="12"/>
    </row>
    <row r="116" spans="1:6" x14ac:dyDescent="0.25">
      <c r="A116" s="7">
        <v>86930</v>
      </c>
      <c r="B116" s="7">
        <v>87294</v>
      </c>
      <c r="C116" s="12">
        <v>11.43</v>
      </c>
      <c r="D116" s="12">
        <v>365</v>
      </c>
      <c r="E116" s="12" t="s">
        <v>177</v>
      </c>
      <c r="F116" s="12"/>
    </row>
    <row r="117" spans="1:6" x14ac:dyDescent="0.25">
      <c r="A117" s="7">
        <v>87295</v>
      </c>
      <c r="B117" s="7">
        <v>87659</v>
      </c>
      <c r="C117" s="12">
        <v>11.43</v>
      </c>
      <c r="D117" s="12">
        <v>365</v>
      </c>
      <c r="E117" s="12" t="s">
        <v>177</v>
      </c>
      <c r="F117" s="12"/>
    </row>
    <row r="118" spans="1:6" x14ac:dyDescent="0.25">
      <c r="A118" s="7">
        <v>87660</v>
      </c>
      <c r="B118" s="7">
        <v>88025</v>
      </c>
      <c r="C118" s="12">
        <v>11.43</v>
      </c>
      <c r="D118" s="12">
        <v>366</v>
      </c>
      <c r="E118" s="12" t="s">
        <v>177</v>
      </c>
      <c r="F118" s="12"/>
    </row>
    <row r="119" spans="1:6" x14ac:dyDescent="0.25">
      <c r="A119" s="7">
        <v>88026</v>
      </c>
      <c r="B119" s="7">
        <v>88390</v>
      </c>
      <c r="C119" s="12">
        <v>11.43</v>
      </c>
      <c r="D119" s="12">
        <v>365</v>
      </c>
      <c r="E119" s="12" t="s">
        <v>177</v>
      </c>
      <c r="F119" s="12"/>
    </row>
    <row r="120" spans="1:6" x14ac:dyDescent="0.25">
      <c r="A120" s="7">
        <v>88391</v>
      </c>
      <c r="B120" s="7">
        <v>88755</v>
      </c>
      <c r="C120" s="12">
        <v>11.43</v>
      </c>
      <c r="D120" s="12">
        <v>365</v>
      </c>
      <c r="E120" s="12" t="s">
        <v>177</v>
      </c>
      <c r="F120" s="12"/>
    </row>
    <row r="121" spans="1:6" x14ac:dyDescent="0.25">
      <c r="A121" s="7">
        <v>88756</v>
      </c>
      <c r="B121" s="7">
        <v>89120</v>
      </c>
      <c r="C121" s="12">
        <v>11.43</v>
      </c>
      <c r="D121" s="12">
        <v>365</v>
      </c>
      <c r="E121" s="12" t="s">
        <v>177</v>
      </c>
      <c r="F121" s="12"/>
    </row>
    <row r="122" spans="1:6" x14ac:dyDescent="0.25">
      <c r="A122" s="7">
        <v>89121</v>
      </c>
      <c r="B122" s="7">
        <v>89486</v>
      </c>
      <c r="C122" s="12">
        <v>11.43</v>
      </c>
      <c r="D122" s="12">
        <v>366</v>
      </c>
      <c r="E122" s="12" t="s">
        <v>177</v>
      </c>
      <c r="F122" s="12"/>
    </row>
    <row r="123" spans="1:6" x14ac:dyDescent="0.25">
      <c r="A123" s="7">
        <v>89487</v>
      </c>
      <c r="B123" s="7">
        <v>89851</v>
      </c>
      <c r="C123" s="12">
        <v>11.43</v>
      </c>
      <c r="D123" s="12">
        <v>365</v>
      </c>
      <c r="E123" s="12" t="s">
        <v>177</v>
      </c>
      <c r="F123" s="12"/>
    </row>
    <row r="124" spans="1:6" x14ac:dyDescent="0.25">
      <c r="A124" s="7">
        <v>89852</v>
      </c>
      <c r="B124" s="7">
        <v>90216</v>
      </c>
      <c r="C124" s="12">
        <v>11.43</v>
      </c>
      <c r="D124" s="12">
        <v>365</v>
      </c>
      <c r="E124" s="12" t="s">
        <v>177</v>
      </c>
      <c r="F124" s="12"/>
    </row>
    <row r="125" spans="1:6" x14ac:dyDescent="0.25">
      <c r="A125" s="7">
        <v>90217</v>
      </c>
      <c r="B125" s="7">
        <v>90581</v>
      </c>
      <c r="C125" s="12">
        <v>11.43</v>
      </c>
      <c r="D125" s="12">
        <v>365</v>
      </c>
      <c r="E125" s="12" t="s">
        <v>177</v>
      </c>
      <c r="F125" s="12"/>
    </row>
    <row r="126" spans="1:6" x14ac:dyDescent="0.25">
      <c r="A126" s="7">
        <v>90582</v>
      </c>
      <c r="B126" s="7">
        <v>90947</v>
      </c>
      <c r="C126" s="12">
        <v>11.43</v>
      </c>
      <c r="D126" s="12">
        <v>366</v>
      </c>
      <c r="E126" s="12" t="s">
        <v>177</v>
      </c>
      <c r="F126" s="12"/>
    </row>
    <row r="127" spans="1:6" x14ac:dyDescent="0.25">
      <c r="A127" s="7">
        <v>90948</v>
      </c>
      <c r="B127" s="7">
        <v>91312</v>
      </c>
      <c r="C127" s="12">
        <v>11.43</v>
      </c>
      <c r="D127" s="12">
        <v>365</v>
      </c>
      <c r="E127" s="12" t="s">
        <v>177</v>
      </c>
      <c r="F127" s="12"/>
    </row>
    <row r="128" spans="1:6" x14ac:dyDescent="0.25">
      <c r="A128" s="7">
        <v>91313</v>
      </c>
      <c r="B128" s="7">
        <v>91677</v>
      </c>
      <c r="C128" s="12">
        <v>11.43</v>
      </c>
      <c r="D128" s="12">
        <v>365</v>
      </c>
      <c r="E128" s="12" t="s">
        <v>177</v>
      </c>
      <c r="F128" s="12"/>
    </row>
    <row r="129" spans="1:6" x14ac:dyDescent="0.25">
      <c r="A129" s="7">
        <v>91678</v>
      </c>
      <c r="B129" s="7">
        <v>92042</v>
      </c>
      <c r="C129" s="12">
        <v>11.43</v>
      </c>
      <c r="D129" s="12">
        <v>365</v>
      </c>
      <c r="E129" s="12" t="s">
        <v>177</v>
      </c>
      <c r="F129" s="12"/>
    </row>
    <row r="130" spans="1:6" x14ac:dyDescent="0.25">
      <c r="A130" s="7">
        <v>92043</v>
      </c>
      <c r="B130" s="7">
        <v>92408</v>
      </c>
      <c r="C130" s="12">
        <v>11.43</v>
      </c>
      <c r="D130" s="12">
        <v>366</v>
      </c>
      <c r="E130" s="12" t="s">
        <v>177</v>
      </c>
      <c r="F130" s="12"/>
    </row>
    <row r="131" spans="1:6" x14ac:dyDescent="0.25">
      <c r="A131" s="7">
        <v>92409</v>
      </c>
      <c r="B131" s="7">
        <v>92773</v>
      </c>
      <c r="C131" s="12">
        <v>11.43</v>
      </c>
      <c r="D131" s="12">
        <v>365</v>
      </c>
      <c r="E131" s="12" t="s">
        <v>177</v>
      </c>
      <c r="F131" s="12"/>
    </row>
    <row r="132" spans="1:6" x14ac:dyDescent="0.25">
      <c r="A132" s="7">
        <v>92774</v>
      </c>
      <c r="B132" s="7">
        <v>93138</v>
      </c>
      <c r="C132" s="12">
        <v>11.43</v>
      </c>
      <c r="D132" s="12">
        <v>365</v>
      </c>
      <c r="E132" s="12" t="s">
        <v>177</v>
      </c>
      <c r="F132" s="12"/>
    </row>
    <row r="133" spans="1:6" x14ac:dyDescent="0.25">
      <c r="A133" s="7">
        <v>93139</v>
      </c>
      <c r="B133" s="7">
        <v>93503</v>
      </c>
      <c r="C133" s="12">
        <v>11.43</v>
      </c>
      <c r="D133" s="12">
        <v>365</v>
      </c>
      <c r="E133" s="12" t="s">
        <v>177</v>
      </c>
      <c r="F133" s="12"/>
    </row>
    <row r="134" spans="1:6" x14ac:dyDescent="0.25">
      <c r="A134" s="7">
        <v>93504</v>
      </c>
      <c r="B134" s="7">
        <v>93869</v>
      </c>
      <c r="C134" s="12">
        <v>11.43</v>
      </c>
      <c r="D134" s="12">
        <v>366</v>
      </c>
      <c r="E134" s="12" t="s">
        <v>177</v>
      </c>
      <c r="F134" s="12"/>
    </row>
    <row r="135" spans="1:6" x14ac:dyDescent="0.25">
      <c r="A135" s="7">
        <v>93870</v>
      </c>
      <c r="B135" s="7">
        <v>94234</v>
      </c>
      <c r="C135" s="12">
        <v>11.43</v>
      </c>
      <c r="D135" s="12">
        <v>365</v>
      </c>
      <c r="E135" s="12" t="s">
        <v>177</v>
      </c>
      <c r="F135" s="12"/>
    </row>
    <row r="136" spans="1:6" x14ac:dyDescent="0.25">
      <c r="A136" s="7">
        <v>94235</v>
      </c>
      <c r="B136" s="7">
        <v>94599</v>
      </c>
      <c r="C136" s="12">
        <v>11.43</v>
      </c>
      <c r="D136" s="12">
        <v>365</v>
      </c>
      <c r="E136" s="12" t="s">
        <v>177</v>
      </c>
      <c r="F136" s="12"/>
    </row>
    <row r="137" spans="1:6" x14ac:dyDescent="0.25">
      <c r="A137" s="7">
        <v>94600</v>
      </c>
      <c r="B137" s="7">
        <v>94964</v>
      </c>
      <c r="C137" s="12">
        <v>11.43</v>
      </c>
      <c r="D137" s="12">
        <v>365</v>
      </c>
      <c r="E137" s="12" t="s">
        <v>177</v>
      </c>
      <c r="F137" s="12"/>
    </row>
    <row r="138" spans="1:6" x14ac:dyDescent="0.25">
      <c r="A138" s="7">
        <v>94965</v>
      </c>
      <c r="B138" s="7">
        <v>95330</v>
      </c>
      <c r="C138" s="12">
        <v>11.43</v>
      </c>
      <c r="D138" s="12">
        <v>366</v>
      </c>
      <c r="E138" s="12" t="s">
        <v>177</v>
      </c>
      <c r="F138" s="12"/>
    </row>
    <row r="139" spans="1:6" x14ac:dyDescent="0.25">
      <c r="A139" s="7">
        <v>95331</v>
      </c>
      <c r="B139" s="7">
        <v>95695</v>
      </c>
      <c r="C139" s="12">
        <v>11.43</v>
      </c>
      <c r="D139" s="12">
        <v>365</v>
      </c>
      <c r="E139" s="12" t="s">
        <v>177</v>
      </c>
      <c r="F139" s="12"/>
    </row>
    <row r="140" spans="1:6" x14ac:dyDescent="0.25">
      <c r="A140" s="7">
        <v>95696</v>
      </c>
      <c r="B140" s="7">
        <v>96060</v>
      </c>
      <c r="C140" s="12">
        <v>11.43</v>
      </c>
      <c r="D140" s="12">
        <v>365</v>
      </c>
      <c r="E140" s="12" t="s">
        <v>177</v>
      </c>
      <c r="F140" s="12"/>
    </row>
    <row r="141" spans="1:6" x14ac:dyDescent="0.25">
      <c r="A141" s="7">
        <v>96061</v>
      </c>
      <c r="B141" s="7">
        <v>96425</v>
      </c>
      <c r="C141" s="12">
        <v>11.43</v>
      </c>
      <c r="D141" s="12">
        <v>365</v>
      </c>
      <c r="E141" s="12" t="s">
        <v>177</v>
      </c>
      <c r="F141" s="12"/>
    </row>
    <row r="142" spans="1:6" x14ac:dyDescent="0.25">
      <c r="A142" s="7">
        <v>96426</v>
      </c>
      <c r="B142" s="7">
        <v>96791</v>
      </c>
      <c r="C142" s="12">
        <v>11.43</v>
      </c>
      <c r="D142" s="12">
        <v>366</v>
      </c>
      <c r="E142" s="12" t="s">
        <v>177</v>
      </c>
      <c r="F142" s="12"/>
    </row>
    <row r="143" spans="1:6" x14ac:dyDescent="0.25">
      <c r="A143" s="7">
        <v>96792</v>
      </c>
      <c r="B143" s="7">
        <v>97156</v>
      </c>
      <c r="C143" s="12">
        <v>11.43</v>
      </c>
      <c r="D143" s="12">
        <v>365</v>
      </c>
      <c r="E143" s="12" t="s">
        <v>177</v>
      </c>
      <c r="F143" s="12"/>
    </row>
    <row r="144" spans="1:6" x14ac:dyDescent="0.25">
      <c r="A144" s="7">
        <v>97157</v>
      </c>
      <c r="B144" s="7">
        <v>97521</v>
      </c>
      <c r="C144" s="12">
        <v>11.43</v>
      </c>
      <c r="D144" s="12">
        <v>365</v>
      </c>
      <c r="E144" s="12" t="s">
        <v>177</v>
      </c>
      <c r="F144" s="12"/>
    </row>
    <row r="145" spans="1:6" x14ac:dyDescent="0.25">
      <c r="A145" s="7">
        <v>97522</v>
      </c>
      <c r="B145" s="7">
        <v>97886</v>
      </c>
      <c r="C145" s="12">
        <v>11.43</v>
      </c>
      <c r="D145" s="12">
        <v>365</v>
      </c>
      <c r="E145" s="12" t="s">
        <v>177</v>
      </c>
      <c r="F145" s="12"/>
    </row>
    <row r="146" spans="1:6" x14ac:dyDescent="0.25">
      <c r="A146" s="7">
        <v>97887</v>
      </c>
      <c r="B146" s="7">
        <v>98252</v>
      </c>
      <c r="C146" s="12">
        <v>11.43</v>
      </c>
      <c r="D146" s="12">
        <v>366</v>
      </c>
      <c r="E146" s="12" t="s">
        <v>177</v>
      </c>
      <c r="F146" s="12"/>
    </row>
    <row r="147" spans="1:6" x14ac:dyDescent="0.25">
      <c r="A147" s="7">
        <v>98253</v>
      </c>
      <c r="B147" s="7">
        <v>98617</v>
      </c>
      <c r="C147" s="12">
        <v>11.43</v>
      </c>
      <c r="D147" s="12">
        <v>365</v>
      </c>
      <c r="E147" s="12" t="s">
        <v>177</v>
      </c>
      <c r="F147" s="12"/>
    </row>
    <row r="148" spans="1:6" x14ac:dyDescent="0.25">
      <c r="A148" s="7">
        <v>98618</v>
      </c>
      <c r="B148" s="7">
        <v>98982</v>
      </c>
      <c r="C148" s="12">
        <v>11.43</v>
      </c>
      <c r="D148" s="12">
        <v>365</v>
      </c>
      <c r="E148" s="12" t="s">
        <v>177</v>
      </c>
      <c r="F148" s="12"/>
    </row>
    <row r="149" spans="1:6" x14ac:dyDescent="0.25">
      <c r="A149" s="7">
        <v>98983</v>
      </c>
      <c r="B149" s="7">
        <v>99347</v>
      </c>
      <c r="C149" s="12">
        <v>11.43</v>
      </c>
      <c r="D149" s="12">
        <v>365</v>
      </c>
      <c r="E149" s="12" t="s">
        <v>177</v>
      </c>
      <c r="F149" s="12"/>
    </row>
    <row r="150" spans="1:6" x14ac:dyDescent="0.25">
      <c r="A150" s="7">
        <v>99348</v>
      </c>
      <c r="B150" s="7">
        <v>99713</v>
      </c>
      <c r="C150" s="12">
        <v>11.43</v>
      </c>
      <c r="D150" s="12">
        <v>366</v>
      </c>
      <c r="E150" s="12" t="s">
        <v>177</v>
      </c>
      <c r="F150" s="12"/>
    </row>
    <row r="151" spans="1:6" x14ac:dyDescent="0.25">
      <c r="A151" s="7">
        <v>99714</v>
      </c>
      <c r="B151" s="7">
        <v>100078</v>
      </c>
      <c r="C151" s="12">
        <v>11.43</v>
      </c>
      <c r="D151" s="12">
        <v>365</v>
      </c>
      <c r="E151" s="12" t="s">
        <v>177</v>
      </c>
      <c r="F151" s="12"/>
    </row>
    <row r="152" spans="1:6" x14ac:dyDescent="0.25">
      <c r="A152" s="7">
        <v>100079</v>
      </c>
      <c r="B152" s="7">
        <v>100443</v>
      </c>
      <c r="C152" s="12">
        <v>11.43</v>
      </c>
      <c r="D152" s="12">
        <v>365</v>
      </c>
      <c r="E152" s="12" t="s">
        <v>177</v>
      </c>
      <c r="F152" s="12"/>
    </row>
    <row r="153" spans="1:6" x14ac:dyDescent="0.25">
      <c r="A153" s="7">
        <v>100444</v>
      </c>
      <c r="B153" s="7">
        <v>100808</v>
      </c>
      <c r="C153" s="12">
        <v>11.43</v>
      </c>
      <c r="D153" s="12">
        <v>365</v>
      </c>
      <c r="E153" s="12" t="s">
        <v>177</v>
      </c>
      <c r="F153" s="12"/>
    </row>
    <row r="154" spans="1:6" x14ac:dyDescent="0.25">
      <c r="A154" s="7">
        <v>100809</v>
      </c>
      <c r="B154" s="7">
        <v>101174</v>
      </c>
      <c r="C154" s="12">
        <v>11.43</v>
      </c>
      <c r="D154" s="12">
        <v>366</v>
      </c>
      <c r="E154" s="12" t="s">
        <v>177</v>
      </c>
      <c r="F154" s="12"/>
    </row>
    <row r="155" spans="1:6" x14ac:dyDescent="0.25">
      <c r="A155" s="7">
        <v>101175</v>
      </c>
      <c r="B155" s="7">
        <v>101539</v>
      </c>
      <c r="C155" s="12">
        <v>11.43</v>
      </c>
      <c r="D155" s="12">
        <v>365</v>
      </c>
      <c r="E155" s="12" t="s">
        <v>177</v>
      </c>
      <c r="F155" s="12"/>
    </row>
    <row r="156" spans="1:6" x14ac:dyDescent="0.25">
      <c r="A156" s="7">
        <v>101540</v>
      </c>
      <c r="B156" s="7">
        <v>101904</v>
      </c>
      <c r="C156" s="12">
        <v>11.43</v>
      </c>
      <c r="D156" s="12">
        <v>365</v>
      </c>
      <c r="E156" s="12" t="s">
        <v>177</v>
      </c>
      <c r="F156" s="12"/>
    </row>
    <row r="157" spans="1:6" x14ac:dyDescent="0.25">
      <c r="A157" s="7">
        <v>101905</v>
      </c>
      <c r="B157" s="7">
        <v>102269</v>
      </c>
      <c r="C157" s="12">
        <v>11.43</v>
      </c>
      <c r="D157" s="12">
        <v>365</v>
      </c>
      <c r="E157" s="12" t="s">
        <v>177</v>
      </c>
      <c r="F157" s="12"/>
    </row>
    <row r="158" spans="1:6" x14ac:dyDescent="0.25">
      <c r="A158" s="7">
        <v>102270</v>
      </c>
      <c r="B158" s="7">
        <v>102635</v>
      </c>
      <c r="C158" s="12">
        <v>11.43</v>
      </c>
      <c r="D158" s="12">
        <v>366</v>
      </c>
      <c r="E158" s="12" t="s">
        <v>177</v>
      </c>
      <c r="F158" s="12"/>
    </row>
    <row r="159" spans="1:6" x14ac:dyDescent="0.25">
      <c r="A159" s="7">
        <v>102636</v>
      </c>
      <c r="B159" s="7">
        <v>103000</v>
      </c>
      <c r="C159" s="12">
        <v>11.43</v>
      </c>
      <c r="D159" s="12">
        <v>365</v>
      </c>
      <c r="E159" s="12" t="s">
        <v>177</v>
      </c>
      <c r="F159" s="12"/>
    </row>
    <row r="160" spans="1:6" x14ac:dyDescent="0.25">
      <c r="A160" s="7">
        <v>103001</v>
      </c>
      <c r="B160" s="7">
        <v>103365</v>
      </c>
      <c r="C160" s="12">
        <v>11.43</v>
      </c>
      <c r="D160" s="12">
        <v>365</v>
      </c>
      <c r="E160" s="12" t="s">
        <v>177</v>
      </c>
      <c r="F160" s="12"/>
    </row>
    <row r="161" spans="1:6" x14ac:dyDescent="0.25">
      <c r="A161" s="7">
        <v>103366</v>
      </c>
      <c r="B161" s="7">
        <v>103730</v>
      </c>
      <c r="C161" s="12">
        <v>11.43</v>
      </c>
      <c r="D161" s="12">
        <v>365</v>
      </c>
      <c r="E161" s="12" t="s">
        <v>177</v>
      </c>
      <c r="F161" s="12"/>
    </row>
    <row r="162" spans="1:6" x14ac:dyDescent="0.25">
      <c r="A162" s="7">
        <v>103731</v>
      </c>
      <c r="B162" s="7">
        <v>104096</v>
      </c>
      <c r="C162" s="12">
        <v>11.43</v>
      </c>
      <c r="D162" s="12">
        <v>366</v>
      </c>
      <c r="E162" s="12" t="s">
        <v>177</v>
      </c>
      <c r="F162" s="12"/>
    </row>
    <row r="163" spans="1:6" x14ac:dyDescent="0.25">
      <c r="A163" s="7">
        <v>104097</v>
      </c>
      <c r="B163" s="7">
        <v>104461</v>
      </c>
      <c r="C163" s="12">
        <v>11.43</v>
      </c>
      <c r="D163" s="12">
        <v>365</v>
      </c>
      <c r="E163" s="12" t="s">
        <v>177</v>
      </c>
      <c r="F163" s="12"/>
    </row>
    <row r="164" spans="1:6" x14ac:dyDescent="0.25">
      <c r="A164" s="7">
        <v>104462</v>
      </c>
      <c r="B164" s="7">
        <v>104826</v>
      </c>
      <c r="C164" s="12">
        <v>11.43</v>
      </c>
      <c r="D164" s="12">
        <v>365</v>
      </c>
      <c r="E164" s="12" t="s">
        <v>177</v>
      </c>
      <c r="F164" s="12"/>
    </row>
    <row r="165" spans="1:6" x14ac:dyDescent="0.25">
      <c r="A165" s="7">
        <v>104827</v>
      </c>
      <c r="B165" s="7">
        <v>105191</v>
      </c>
      <c r="C165" s="12">
        <v>11.43</v>
      </c>
      <c r="D165" s="12">
        <v>365</v>
      </c>
      <c r="E165" s="12" t="s">
        <v>177</v>
      </c>
      <c r="F165" s="12"/>
    </row>
    <row r="166" spans="1:6" x14ac:dyDescent="0.25">
      <c r="A166" s="7">
        <v>105192</v>
      </c>
      <c r="B166" s="7">
        <v>105557</v>
      </c>
      <c r="C166" s="12">
        <v>11.43</v>
      </c>
      <c r="D166" s="12">
        <v>366</v>
      </c>
      <c r="E166" s="12" t="s">
        <v>177</v>
      </c>
      <c r="F166" s="12"/>
    </row>
    <row r="167" spans="1:6" x14ac:dyDescent="0.25">
      <c r="A167" s="7">
        <v>105558</v>
      </c>
      <c r="B167" s="7">
        <v>105922</v>
      </c>
      <c r="C167" s="12">
        <v>11.43</v>
      </c>
      <c r="D167" s="12">
        <v>365</v>
      </c>
      <c r="E167" s="12" t="s">
        <v>177</v>
      </c>
      <c r="F167" s="12"/>
    </row>
    <row r="168" spans="1:6" x14ac:dyDescent="0.25">
      <c r="A168" s="7">
        <v>105923</v>
      </c>
      <c r="B168" s="7">
        <v>106287</v>
      </c>
      <c r="C168" s="12">
        <v>11.43</v>
      </c>
      <c r="D168" s="12">
        <v>365</v>
      </c>
      <c r="E168" s="12" t="s">
        <v>177</v>
      </c>
      <c r="F168" s="12"/>
    </row>
    <row r="169" spans="1:6" x14ac:dyDescent="0.25">
      <c r="A169" s="7">
        <v>106288</v>
      </c>
      <c r="B169" s="7">
        <v>106652</v>
      </c>
      <c r="C169" s="12">
        <v>11.43</v>
      </c>
      <c r="D169" s="12">
        <v>365</v>
      </c>
      <c r="E169" s="12" t="s">
        <v>177</v>
      </c>
      <c r="F169" s="12"/>
    </row>
    <row r="170" spans="1:6" x14ac:dyDescent="0.25">
      <c r="A170" s="7">
        <v>106653</v>
      </c>
      <c r="B170" s="7">
        <v>107018</v>
      </c>
      <c r="C170" s="12">
        <v>11.43</v>
      </c>
      <c r="D170" s="12">
        <v>366</v>
      </c>
      <c r="E170" s="12" t="s">
        <v>177</v>
      </c>
      <c r="F170" s="12"/>
    </row>
    <row r="171" spans="1:6" x14ac:dyDescent="0.25">
      <c r="A171" s="7">
        <v>107019</v>
      </c>
      <c r="B171" s="7">
        <v>107383</v>
      </c>
      <c r="C171" s="12">
        <v>11.43</v>
      </c>
      <c r="D171" s="12">
        <v>365</v>
      </c>
      <c r="E171" s="12" t="s">
        <v>177</v>
      </c>
      <c r="F171" s="12"/>
    </row>
    <row r="172" spans="1:6" x14ac:dyDescent="0.25">
      <c r="A172" s="7">
        <v>107384</v>
      </c>
      <c r="B172" s="7">
        <v>107748</v>
      </c>
      <c r="C172" s="12">
        <v>11.43</v>
      </c>
      <c r="D172" s="12">
        <v>365</v>
      </c>
      <c r="E172" s="12" t="s">
        <v>177</v>
      </c>
      <c r="F172" s="12"/>
    </row>
    <row r="173" spans="1:6" x14ac:dyDescent="0.25">
      <c r="A173" s="7">
        <v>107749</v>
      </c>
      <c r="B173" s="7">
        <v>108113</v>
      </c>
      <c r="C173" s="12">
        <v>11.43</v>
      </c>
      <c r="D173" s="12">
        <v>365</v>
      </c>
      <c r="E173" s="12" t="s">
        <v>177</v>
      </c>
      <c r="F173" s="12"/>
    </row>
    <row r="174" spans="1:6" x14ac:dyDescent="0.25">
      <c r="A174" s="7">
        <v>108114</v>
      </c>
      <c r="B174" s="7">
        <v>108479</v>
      </c>
      <c r="C174" s="12">
        <v>11.43</v>
      </c>
      <c r="D174" s="12">
        <v>366</v>
      </c>
      <c r="E174" s="12" t="s">
        <v>177</v>
      </c>
      <c r="F174" s="12"/>
    </row>
    <row r="175" spans="1:6" x14ac:dyDescent="0.25">
      <c r="A175" s="7">
        <v>108480</v>
      </c>
      <c r="B175" s="7">
        <v>108844</v>
      </c>
      <c r="C175" s="12">
        <v>11.43</v>
      </c>
      <c r="D175" s="12">
        <v>365</v>
      </c>
      <c r="E175" s="12" t="s">
        <v>177</v>
      </c>
      <c r="F175" s="12"/>
    </row>
    <row r="176" spans="1:6" x14ac:dyDescent="0.25">
      <c r="A176" s="7">
        <v>108845</v>
      </c>
      <c r="B176" s="7">
        <v>109209</v>
      </c>
      <c r="C176" s="12">
        <v>11.43</v>
      </c>
      <c r="D176" s="12">
        <v>365</v>
      </c>
      <c r="E176" s="12" t="s">
        <v>177</v>
      </c>
      <c r="F176" s="12"/>
    </row>
    <row r="177" spans="1:6" x14ac:dyDescent="0.25">
      <c r="A177" s="7">
        <v>109210</v>
      </c>
      <c r="B177" s="7">
        <v>109574</v>
      </c>
      <c r="C177" s="12">
        <v>11.43</v>
      </c>
      <c r="D177" s="12">
        <v>365</v>
      </c>
      <c r="E177" s="12" t="s">
        <v>177</v>
      </c>
      <c r="F177" s="12"/>
    </row>
    <row r="178" spans="1:6" x14ac:dyDescent="0.25">
      <c r="A178" s="7">
        <v>109575</v>
      </c>
      <c r="B178" s="7">
        <v>109939</v>
      </c>
      <c r="C178" s="12">
        <v>11.43</v>
      </c>
      <c r="D178" s="12">
        <v>365</v>
      </c>
      <c r="E178" s="12" t="s">
        <v>177</v>
      </c>
      <c r="F178" s="12"/>
    </row>
    <row r="181" spans="1:6" x14ac:dyDescent="0.25">
      <c r="A181" t="s">
        <v>178</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179</v>
      </c>
      <c r="B1" s="5"/>
    </row>
    <row r="2" spans="1:4" x14ac:dyDescent="0.25">
      <c r="A2" t="s">
        <v>180</v>
      </c>
      <c r="B2" s="13">
        <v>46244</v>
      </c>
      <c r="C2" t="s">
        <v>181</v>
      </c>
      <c r="D2" s="9">
        <f>IF(Summary!$B$2="","",IF(ISNUMBER(Summary!$B$2),INT(Summary!$B$2),Summary!$B$2))</f>
        <v>46244</v>
      </c>
    </row>
    <row r="3" spans="1:4" x14ac:dyDescent="0.25">
      <c r="A3" t="s">
        <v>182</v>
      </c>
      <c r="B3" s="13"/>
      <c r="C3" t="s">
        <v>183</v>
      </c>
      <c r="D3" s="9" t="str">
        <f>IF(Summary!$B$3="","",IF(ISNUMBER(Summary!$B$3),INT(Summary!$B$3),Summary!$B$3))</f>
        <v/>
      </c>
    </row>
    <row r="4" spans="1:4" x14ac:dyDescent="0.25">
      <c r="A4" t="s">
        <v>184</v>
      </c>
      <c r="B4" s="14" t="s">
        <v>185</v>
      </c>
    </row>
    <row r="5" spans="1:4" x14ac:dyDescent="0.25">
      <c r="A5" t="s">
        <v>186</v>
      </c>
      <c r="B5" s="14" t="s">
        <v>185</v>
      </c>
    </row>
    <row r="6" spans="1:4" x14ac:dyDescent="0.25">
      <c r="A6" t="s">
        <v>187</v>
      </c>
      <c r="B6" s="13">
        <v>46630</v>
      </c>
    </row>
    <row r="7" spans="1:4" x14ac:dyDescent="0.25">
      <c r="A7" t="s">
        <v>188</v>
      </c>
      <c r="B7" s="9">
        <f>_xlfn.MAXIFS(tblGic[to],tblGic[basis],"known")</f>
        <v>46295</v>
      </c>
    </row>
    <row r="9" spans="1:4" x14ac:dyDescent="0.25">
      <c r="A9" s="5" t="s">
        <v>189</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190</v>
      </c>
      <c r="B16" s="10">
        <f>SUM(tblLines[Exposed])</f>
        <v>3</v>
      </c>
    </row>
    <row r="17" spans="1:2" x14ac:dyDescent="0.25">
      <c r="A17" t="s">
        <v>191</v>
      </c>
      <c r="B17" s="11">
        <f>ROUND(SUM(tblLines[Shortfall_r]),2)</f>
        <v>780</v>
      </c>
    </row>
    <row r="18" spans="1:2" x14ac:dyDescent="0.25">
      <c r="A18" t="s">
        <v>192</v>
      </c>
      <c r="B18" s="11">
        <f>ROUND(SUM(tblLines[NEC_r]),2)</f>
        <v>8.07</v>
      </c>
    </row>
    <row r="19" spans="1:2" x14ac:dyDescent="0.25">
      <c r="A19" t="s">
        <v>193</v>
      </c>
      <c r="B19" s="11">
        <f>ROUND(SUM(tblLines[SGC_low]),2)</f>
        <v>788.07</v>
      </c>
    </row>
    <row r="20" spans="1:2" x14ac:dyDescent="0.25">
      <c r="A20" t="s">
        <v>194</v>
      </c>
      <c r="B20" s="11">
        <f>ROUND(SUM(tblLines[SGC_high]),2)</f>
        <v>1260.92</v>
      </c>
    </row>
    <row r="21" spans="1:2" x14ac:dyDescent="0.25">
      <c r="A21" t="s">
        <v>195</v>
      </c>
      <c r="B21" s="10">
        <f>SUMPRODUCT(--(tblLines[Unassessable_between]&lt;&gt;""))</f>
        <v>0</v>
      </c>
    </row>
    <row r="22" spans="1:2" x14ac:dyDescent="0.25">
      <c r="A22" t="s">
        <v>196</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197</v>
      </c>
      <c r="B1" s="5" t="s">
        <v>198</v>
      </c>
      <c r="C1" s="5" t="s">
        <v>199</v>
      </c>
      <c r="D1" s="5" t="s">
        <v>200</v>
      </c>
    </row>
    <row r="2" spans="1:4" x14ac:dyDescent="0.25">
      <c r="A2" t="s">
        <v>201</v>
      </c>
      <c r="B2" s="10" t="str">
        <f>IF(C2=0,"PASS","BLOCKED")</f>
        <v>PASS</v>
      </c>
      <c r="C2" s="10">
        <f>SUMPRODUCT(--(tblLines[Row_problem]&lt;&gt;""))</f>
        <v>0</v>
      </c>
      <c r="D2" s="10" t="str">
        <f t="array" ref="D2">IF(C2=0,"",INDEX(tblLines[employee_id],SUMPRODUCT(MAX((tblLines[Row_problem]&lt;&gt;"")*(ROW(tblLines[employee_id])-1)))))</f>
        <v/>
      </c>
    </row>
    <row r="3" spans="1:4" x14ac:dyDescent="0.25">
      <c r="A3" t="s">
        <v>202</v>
      </c>
      <c r="B3" s="10" t="str">
        <f>IF(C3=0,"PASS","BLOCKED")</f>
        <v>PASS</v>
      </c>
      <c r="C3" s="10">
        <f>SUM(tblLines[Guard])</f>
        <v>0</v>
      </c>
      <c r="D3" s="10" t="str">
        <f t="array" ref="D3">IF(C3=0,"",INDEX(tblLines[employee_id],SUMPRODUCT(MAX((tblLines[Guard]=1)*(ROW(tblLines[employee_id])-1)))))</f>
        <v/>
      </c>
    </row>
    <row r="4" spans="1:4" x14ac:dyDescent="0.25">
      <c r="A4" t="s">
        <v>203</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204</v>
      </c>
      <c r="B5" s="10" t="str">
        <f>IF(C5=0,"PASS","REVIEW")</f>
        <v>REVIEW</v>
      </c>
      <c r="C5" s="10">
        <f>SUM(tblLines[Exposed])</f>
        <v>3</v>
      </c>
      <c r="D5" s="10" t="str">
        <f t="array" ref="D5">IF(C5=0,"",INDEX(tblLines[employee_id],SUMPRODUCT(MAX((tblLines[Exposed]=1)*(ROW(tblLines[employee_id])-1)))))</f>
        <v>EMP001</v>
      </c>
    </row>
    <row r="6" spans="1:4" x14ac:dyDescent="0.25">
      <c r="A6" t="s">
        <v>205</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206</v>
      </c>
      <c r="B7" s="10" t="str">
        <f>IF(OR(Summary!B22="NO",Summary!$B$5="Y"),"PASS","REVIEW")</f>
        <v>PASS</v>
      </c>
      <c r="C7" s="10" t="str">
        <f>Summary!B22</f>
        <v>NO</v>
      </c>
      <c r="D7" s="10"/>
    </row>
    <row r="8" spans="1:4" x14ac:dyDescent="0.25">
      <c r="A8" t="s">
        <v>207</v>
      </c>
      <c r="B8" s="10" t="str">
        <f>IF(C8=0,"PASS","NOTE")</f>
        <v>PASS</v>
      </c>
      <c r="C8" s="10">
        <f>SUM(tblLines[Past_horizon])</f>
        <v>0</v>
      </c>
      <c r="D8" s="10" t="str">
        <f t="array" ref="D8">IF(C8=0,"",INDEX(tblLines[employee_id],SUMPRODUCT(MAX((tblLines[Past_horizon]=1)*(ROW(tblLines[employee_id])-1)))))</f>
        <v/>
      </c>
    </row>
    <row r="9" spans="1:4" x14ac:dyDescent="0.25">
      <c r="A9" t="s">
        <v>208</v>
      </c>
      <c r="B9" s="10" t="str">
        <f>IF(C9=0,"PASS","NOTE")</f>
        <v>PASS</v>
      </c>
      <c r="C9" s="10">
        <f>SUM(tblLines[GIC_estimated])</f>
        <v>0</v>
      </c>
      <c r="D9" s="10" t="str">
        <f t="array" ref="D9">IF(C9=0,"",INDEX(tblLines[employee_id],SUMPRODUCT(MAX((tblLines[GIC_estimated]=1)*(ROW(tblLines[employee_id])-1)))))</f>
        <v/>
      </c>
    </row>
    <row r="10" spans="1:4" x14ac:dyDescent="0.25">
      <c r="A10" t="s">
        <v>209</v>
      </c>
      <c r="B10" s="10" t="str">
        <f>IF(C10=0,"PASS","NOTE")</f>
        <v>PASS</v>
      </c>
      <c r="C10" s="10">
        <f>SUM(tblLines[Duplicate])</f>
        <v>0</v>
      </c>
      <c r="D10" s="10" t="str">
        <f t="array" ref="D10">IF(C10=0,"",INDEX(tblLines[employee_id],SUMPRODUCT(MAX((tblLines[Duplicate]=1)*(ROW(tblLines[employee_id])-1)))))</f>
        <v/>
      </c>
    </row>
    <row r="11" spans="1:4" x14ac:dyDescent="0.25">
      <c r="A11" t="s">
        <v>210</v>
      </c>
      <c r="B11" s="10" t="str">
        <f>IF(C11=0,"PASS","NOTE")</f>
        <v>PASS</v>
      </c>
      <c r="C11" s="10">
        <f>COUNTIF(tblLines[Branch],"NIL")</f>
        <v>0</v>
      </c>
      <c r="D11" s="10" t="str">
        <f t="array" ref="D11">IF(C11=0,"",INDEX(tblLines[employee_id],SUMPRODUCT(MAX((tblLines[Branch]="NIL")*(ROW(tblLines[employee_id])-1)))))</f>
        <v/>
      </c>
    </row>
    <row r="12" spans="1:4" x14ac:dyDescent="0.25">
      <c r="A12" t="s">
        <v>211</v>
      </c>
      <c r="B12" s="10" t="str">
        <f>IF(AND(ISNUMBER(Summary!$D$2),Summary!$D$2&lt;=DATE(2200,12,31),OR(Summary!$D$3="",AND(ISNUMBER(Summary!$D$3),Summary!$D$3&lt;=DATE(2200,12,31))),ISNUMBER(Summary!$B$6)),"PASS","BLOCKED")</f>
        <v>PASS</v>
      </c>
      <c r="C12" s="10">
        <f>Summary!$D$2</f>
        <v>46244</v>
      </c>
      <c r="D12" s="10"/>
    </row>
    <row r="13" spans="1:4" x14ac:dyDescent="0.25">
      <c r="A13" t="s">
        <v>212</v>
      </c>
      <c r="B13" s="10" t="str">
        <f>IF(C13=0,"PASS","REVIEW")</f>
        <v>REVIEW</v>
      </c>
      <c r="C13" s="10">
        <f>SUM(tblLines[Sample_row])</f>
        <v>10</v>
      </c>
      <c r="D13" s="10" t="str">
        <f t="array" ref="D13">IF(C13=0,"",INDEX(tblLines[employee_id],SUMPRODUCT(MAX((tblLines[Sample_row]=1)*(ROW(tblLines[employee_id])-1)))))</f>
        <v>EMP005</v>
      </c>
    </row>
    <row r="14" spans="1:4" x14ac:dyDescent="0.25">
      <c r="A14" t="s">
        <v>213</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214</v>
      </c>
    </row>
    <row r="19" spans="1:1" ht="30" x14ac:dyDescent="0.25">
      <c r="A19" s="16" t="s">
        <v>215</v>
      </c>
    </row>
    <row r="20" spans="1:1" ht="45" x14ac:dyDescent="0.25">
      <c r="A20" s="16" t="s">
        <v>216</v>
      </c>
    </row>
    <row r="21" spans="1:1" ht="45" x14ac:dyDescent="0.25">
      <c r="A21" s="16" t="s">
        <v>217</v>
      </c>
    </row>
    <row r="22" spans="1:1" ht="30" x14ac:dyDescent="0.25">
      <c r="A22" s="16" t="s">
        <v>218</v>
      </c>
    </row>
    <row r="23" spans="1:1" ht="45" x14ac:dyDescent="0.25">
      <c r="A23" s="16" t="s">
        <v>219</v>
      </c>
    </row>
    <row r="24" spans="1:1" ht="45" x14ac:dyDescent="0.25">
      <c r="A24" s="16" t="s">
        <v>220</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221</v>
      </c>
      <c r="B1" s="5" t="s">
        <v>222</v>
      </c>
    </row>
    <row r="2" spans="1:2" x14ac:dyDescent="0.25">
      <c r="A2" t="s">
        <v>223</v>
      </c>
      <c r="B2" t="s">
        <v>224</v>
      </c>
    </row>
    <row r="3" spans="1:2" x14ac:dyDescent="0.25">
      <c r="A3" t="s">
        <v>225</v>
      </c>
      <c r="B3" t="s">
        <v>238</v>
      </c>
    </row>
    <row r="4" spans="1:2" x14ac:dyDescent="0.25">
      <c r="A4" t="s">
        <v>226</v>
      </c>
      <c r="B4" t="s">
        <v>227</v>
      </c>
    </row>
    <row r="5" spans="1:2" x14ac:dyDescent="0.25">
      <c r="A5" t="s">
        <v>228</v>
      </c>
      <c r="B5" t="s">
        <v>229</v>
      </c>
    </row>
    <row r="6" spans="1:2" x14ac:dyDescent="0.25">
      <c r="A6" t="s">
        <v>230</v>
      </c>
      <c r="B6" t="s">
        <v>231</v>
      </c>
    </row>
    <row r="7" spans="1:2" x14ac:dyDescent="0.25">
      <c r="A7" t="s">
        <v>232</v>
      </c>
      <c r="B7" t="s">
        <v>233</v>
      </c>
    </row>
    <row r="8" spans="1:2" x14ac:dyDescent="0.25">
      <c r="A8" t="s">
        <v>234</v>
      </c>
      <c r="B8" t="s">
        <v>235</v>
      </c>
    </row>
    <row r="9" spans="1:2" x14ac:dyDescent="0.25">
      <c r="A9" t="s">
        <v>236</v>
      </c>
      <c r="B9" t="s">
        <v>237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2026-09-13T13:25:44Z</dcterms:created>
  <dcterms:modified xsi:type="dcterms:W3CDTF">2026-09-13T13:25:46Z</dcterms:modified>
</cp:coreProperties>
</file>