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D803C876-E965-4529-8BED-7102C166DD1E}"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7" l="1"/>
  <c r="B12" i="7"/>
  <c r="B7" i="6"/>
  <c r="BH11" i="2"/>
  <c r="BG11" i="2" a="1"/>
  <c r="BG11" i="2" s="1"/>
  <c r="BF11" i="2"/>
  <c r="BD11" i="2"/>
  <c r="X11" i="2"/>
  <c r="Z11" i="2" s="1"/>
  <c r="W11" i="2"/>
  <c r="V11" i="2"/>
  <c r="Q11" i="2"/>
  <c r="P11" i="2"/>
  <c r="N11" i="2"/>
  <c r="M11" i="2"/>
  <c r="R11" i="2" s="1"/>
  <c r="L11" i="2"/>
  <c r="BH10" i="2"/>
  <c r="BG10" i="2" a="1"/>
  <c r="BG10" i="2" s="1"/>
  <c r="BF10" i="2"/>
  <c r="X10" i="2"/>
  <c r="Z10" i="2" s="1"/>
  <c r="W10" i="2"/>
  <c r="V10" i="2"/>
  <c r="Q10" i="2"/>
  <c r="P10" i="2"/>
  <c r="N10" i="2"/>
  <c r="M10" i="2"/>
  <c r="R10" i="2" s="1"/>
  <c r="L10" i="2"/>
  <c r="BH9" i="2"/>
  <c r="BG9" i="2" a="1"/>
  <c r="BG9" i="2" s="1"/>
  <c r="BF9" i="2"/>
  <c r="BD9" i="2"/>
  <c r="BC9" i="2"/>
  <c r="X9" i="2"/>
  <c r="Z9" i="2" s="1"/>
  <c r="W9" i="2"/>
  <c r="V9" i="2"/>
  <c r="Q9" i="2"/>
  <c r="P9" i="2"/>
  <c r="N9" i="2"/>
  <c r="S9" i="2" s="1"/>
  <c r="M9" i="2"/>
  <c r="L9" i="2"/>
  <c r="BH8" i="2"/>
  <c r="BG8" i="2" a="1"/>
  <c r="BG8" i="2" s="1"/>
  <c r="BF8" i="2"/>
  <c r="BD8" i="2"/>
  <c r="BC8" i="2"/>
  <c r="X8" i="2"/>
  <c r="Z8" i="2" s="1"/>
  <c r="W8" i="2"/>
  <c r="V8" i="2"/>
  <c r="Q8" i="2"/>
  <c r="P8" i="2"/>
  <c r="N8" i="2"/>
  <c r="M8" i="2"/>
  <c r="R8" i="2" s="1"/>
  <c r="L8" i="2"/>
  <c r="BH7" i="2"/>
  <c r="BG7" i="2" a="1"/>
  <c r="BG7" i="2" s="1"/>
  <c r="BF7" i="2"/>
  <c r="BD7" i="2"/>
  <c r="BC7" i="2"/>
  <c r="X7" i="2"/>
  <c r="Z7" i="2" s="1"/>
  <c r="W7" i="2"/>
  <c r="V7" i="2"/>
  <c r="Q7" i="2"/>
  <c r="P7" i="2"/>
  <c r="N7" i="2"/>
  <c r="M7" i="2"/>
  <c r="R7" i="2" s="1"/>
  <c r="L7" i="2"/>
  <c r="BH6" i="2"/>
  <c r="BG6" i="2" a="1"/>
  <c r="BG6" i="2" s="1"/>
  <c r="BF6" i="2"/>
  <c r="BD6" i="2"/>
  <c r="BC6" i="2"/>
  <c r="X6" i="2"/>
  <c r="Z6" i="2" s="1"/>
  <c r="W6" i="2"/>
  <c r="V6" i="2"/>
  <c r="Q6" i="2"/>
  <c r="P6" i="2"/>
  <c r="N6" i="2"/>
  <c r="M6" i="2"/>
  <c r="R6" i="2" s="1"/>
  <c r="L6" i="2"/>
  <c r="BH5" i="2"/>
  <c r="BG5" i="2" a="1"/>
  <c r="BG5" i="2" s="1"/>
  <c r="BF5" i="2"/>
  <c r="X5" i="2"/>
  <c r="Z5" i="2" s="1"/>
  <c r="W5" i="2"/>
  <c r="V5" i="2"/>
  <c r="Q5" i="2"/>
  <c r="P5" i="2"/>
  <c r="N5" i="2"/>
  <c r="M5" i="2"/>
  <c r="R5" i="2" s="1"/>
  <c r="L5" i="2"/>
  <c r="BH4" i="2"/>
  <c r="BG4" i="2" a="1"/>
  <c r="BG4" i="2" s="1"/>
  <c r="BF4" i="2"/>
  <c r="X4" i="2"/>
  <c r="Z4" i="2" s="1"/>
  <c r="W4" i="2"/>
  <c r="V4" i="2"/>
  <c r="Q4" i="2"/>
  <c r="P4" i="2"/>
  <c r="N4" i="2"/>
  <c r="M4" i="2"/>
  <c r="R4" i="2" s="1"/>
  <c r="L4" i="2"/>
  <c r="BC4" i="2" s="1"/>
  <c r="BH3" i="2"/>
  <c r="BG3" i="2" a="1"/>
  <c r="BG3" i="2" s="1"/>
  <c r="BF3" i="2"/>
  <c r="BC3" i="2"/>
  <c r="X3" i="2"/>
  <c r="Z3" i="2" s="1"/>
  <c r="W3" i="2"/>
  <c r="V3" i="2"/>
  <c r="Q3" i="2"/>
  <c r="P3" i="2"/>
  <c r="N3" i="2"/>
  <c r="M3" i="2"/>
  <c r="R3" i="2" s="1"/>
  <c r="L3" i="2"/>
  <c r="BH2" i="2"/>
  <c r="BG2" i="2" a="1"/>
  <c r="BG2" i="2" s="1"/>
  <c r="BF2" i="2"/>
  <c r="C10" i="7" s="1"/>
  <c r="X2" i="2"/>
  <c r="Z2" i="2" s="1"/>
  <c r="W2" i="2"/>
  <c r="V2" i="2"/>
  <c r="Q2" i="2"/>
  <c r="P2" i="2"/>
  <c r="C3" i="7" s="1"/>
  <c r="N2" i="2"/>
  <c r="M2" i="2"/>
  <c r="R2" i="2" s="1"/>
  <c r="L2" i="2"/>
  <c r="BC2" i="2" s="1"/>
  <c r="Y11" i="2" l="1"/>
  <c r="Y9" i="2"/>
  <c r="Y8" i="2"/>
  <c r="Y7" i="2"/>
  <c r="Y6" i="2"/>
  <c r="C13" i="7"/>
  <c r="C14" i="7"/>
  <c r="S11" i="2"/>
  <c r="O11" i="2"/>
  <c r="S8" i="2"/>
  <c r="O8" i="2"/>
  <c r="Y4" i="2"/>
  <c r="BD4" i="2"/>
  <c r="Y3" i="2"/>
  <c r="BD3" i="2"/>
  <c r="Y2" i="2"/>
  <c r="BD2" i="2"/>
  <c r="BC11" i="2"/>
  <c r="U11" i="2"/>
  <c r="T11" i="2"/>
  <c r="Y10" i="2"/>
  <c r="BD10" i="2"/>
  <c r="S10" i="2"/>
  <c r="O10" i="2"/>
  <c r="BC10" i="2"/>
  <c r="U10" i="2"/>
  <c r="T10" i="2"/>
  <c r="R9" i="2"/>
  <c r="O9" i="2"/>
  <c r="U9" i="2"/>
  <c r="T9" i="2"/>
  <c r="AH8" i="2"/>
  <c r="U8" i="2"/>
  <c r="T8" i="2"/>
  <c r="S7" i="2"/>
  <c r="O7" i="2"/>
  <c r="T7" i="2"/>
  <c r="U7" i="2"/>
  <c r="O6" i="2"/>
  <c r="S6" i="2"/>
  <c r="T6" i="2" s="1"/>
  <c r="U6" i="2"/>
  <c r="BD5" i="2"/>
  <c r="Y5" i="2"/>
  <c r="S5" i="2"/>
  <c r="O5" i="2"/>
  <c r="BC5" i="2"/>
  <c r="U5" i="2"/>
  <c r="T5" i="2"/>
  <c r="O4" i="2"/>
  <c r="S4" i="2"/>
  <c r="U4" i="2"/>
  <c r="T4" i="2"/>
  <c r="S3" i="2"/>
  <c r="O3" i="2"/>
  <c r="T3" i="2"/>
  <c r="U3" i="2"/>
  <c r="D10" i="7" a="1"/>
  <c r="D10" i="7" s="1"/>
  <c r="B10" i="7"/>
  <c r="D3" i="7" a="1"/>
  <c r="D3" i="7" s="1"/>
  <c r="B3" i="7"/>
  <c r="S2" i="2"/>
  <c r="O2" i="2"/>
  <c r="U2" i="2"/>
  <c r="T2" i="2"/>
  <c r="D13" i="7" l="1" a="1"/>
  <c r="D13" i="7" s="1"/>
  <c r="B13" i="7"/>
  <c r="D14" i="7" a="1"/>
  <c r="D14" i="7" s="1"/>
  <c r="B14" i="7"/>
  <c r="AC8" i="2" a="1"/>
  <c r="AC8" i="2" s="1"/>
  <c r="AB8" i="2" a="1"/>
  <c r="AB8" i="2" s="1"/>
  <c r="AA11" i="2"/>
  <c r="AA10" i="2"/>
  <c r="AA9" i="2"/>
  <c r="AI8" i="2"/>
  <c r="BE8" i="2" s="1"/>
  <c r="AJ8" i="2"/>
  <c r="AK8" i="2"/>
  <c r="AL8" i="2"/>
  <c r="AM8" i="2"/>
  <c r="AA8" i="2"/>
  <c r="AD8" i="2"/>
  <c r="AE8" i="2"/>
  <c r="AA7" i="2"/>
  <c r="AA6" i="2"/>
  <c r="AA5" i="2"/>
  <c r="AA4" i="2"/>
  <c r="AA3" i="2"/>
  <c r="AA2" i="2"/>
  <c r="C4" i="7"/>
  <c r="C2" i="7"/>
  <c r="AB6" i="2" a="1"/>
  <c r="AB6" i="2" s="1"/>
  <c r="AC5" i="2" a="1"/>
  <c r="AC5" i="2" s="1"/>
  <c r="AB10" i="2" l="1" a="1"/>
  <c r="AB10" i="2" s="1"/>
  <c r="AC6" i="2" a="1"/>
  <c r="AC6" i="2" s="1"/>
  <c r="AB5" i="2" a="1"/>
  <c r="AB5" i="2" s="1"/>
  <c r="AC4" i="2" a="1"/>
  <c r="AC4" i="2" s="1"/>
  <c r="AB2" i="2" a="1"/>
  <c r="AB2" i="2" s="1"/>
  <c r="AN8" i="2"/>
  <c r="AO8" i="2"/>
  <c r="AP8" i="2"/>
  <c r="AQ8" i="2"/>
  <c r="AR8" i="2"/>
  <c r="AS8" i="2"/>
  <c r="AT8" i="2"/>
  <c r="AU8" i="2"/>
  <c r="AV8" i="2"/>
  <c r="AW8" i="2"/>
  <c r="AX8" i="2"/>
  <c r="AY8" i="2"/>
  <c r="AZ8" i="2"/>
  <c r="BA8" i="2"/>
  <c r="BB8" i="2"/>
  <c r="AF8" i="2"/>
  <c r="AG8" i="2"/>
  <c r="AC9" i="2" a="1"/>
  <c r="AC9" i="2" s="1"/>
  <c r="AB11" i="2" a="1"/>
  <c r="AB11" i="2" s="1"/>
  <c r="AC3" i="2" a="1"/>
  <c r="AC3" i="2" s="1"/>
  <c r="AB9" i="2" a="1"/>
  <c r="AB9" i="2" s="1"/>
  <c r="AC11" i="2" a="1"/>
  <c r="AC11" i="2" s="1"/>
  <c r="AB3" i="2" a="1"/>
  <c r="AB3" i="2" s="1"/>
  <c r="AB7" i="2" a="1"/>
  <c r="AB7" i="2" s="1"/>
  <c r="AC7" i="2" a="1"/>
  <c r="AC7" i="2" s="1"/>
  <c r="B4" i="7"/>
  <c r="D4" i="7" a="1"/>
  <c r="D4" i="7" s="1"/>
  <c r="B2" i="7"/>
  <c r="D2" i="7" a="1"/>
  <c r="D2" i="7" s="1"/>
  <c r="AC10" i="2" a="1"/>
  <c r="AC10" i="2" s="1"/>
  <c r="AB4" i="2" a="1"/>
  <c r="AB4" i="2" s="1"/>
  <c r="AC2" i="2" a="1"/>
  <c r="AC2" i="2" s="1"/>
  <c r="AD6" i="2"/>
  <c r="AE6" i="2"/>
  <c r="AD10" i="2" l="1"/>
  <c r="AE10" i="2"/>
  <c r="AD5" i="2"/>
  <c r="AF5" i="2" s="1"/>
  <c r="AH5" i="2" s="1"/>
  <c r="AE5" i="2"/>
  <c r="AD2" i="2"/>
  <c r="AE2" i="2"/>
  <c r="AD11" i="2"/>
  <c r="AE11" i="2"/>
  <c r="AE9" i="2"/>
  <c r="AD9" i="2"/>
  <c r="AE3" i="2"/>
  <c r="AD3" i="2"/>
  <c r="AE7" i="2"/>
  <c r="AD7" i="2"/>
  <c r="AE4" i="2"/>
  <c r="AD4" i="2"/>
  <c r="AG10" i="2"/>
  <c r="AF10" i="2"/>
  <c r="AH10" i="2"/>
  <c r="AG6" i="2"/>
  <c r="AF6" i="2"/>
  <c r="AH6" i="2" s="1"/>
  <c r="AG5" i="2"/>
  <c r="AG2" i="2" l="1"/>
  <c r="AF2" i="2"/>
  <c r="AH2" i="2" s="1"/>
  <c r="AG11" i="2"/>
  <c r="AF11" i="2"/>
  <c r="AH11" i="2"/>
  <c r="AG9" i="2"/>
  <c r="AF9" i="2"/>
  <c r="AH9" i="2" s="1"/>
  <c r="AG3" i="2"/>
  <c r="AF3" i="2"/>
  <c r="AH3" i="2" s="1"/>
  <c r="C11" i="7" s="1"/>
  <c r="AG7" i="2"/>
  <c r="AF7" i="2"/>
  <c r="AH7" i="2"/>
  <c r="AG4" i="2"/>
  <c r="AF4" i="2"/>
  <c r="AH4" i="2"/>
  <c r="AM10" i="2"/>
  <c r="AL10" i="2"/>
  <c r="AK10" i="2"/>
  <c r="AJ10" i="2"/>
  <c r="AI10" i="2"/>
  <c r="BE10" i="2" s="1"/>
  <c r="AM6" i="2"/>
  <c r="AL6" i="2"/>
  <c r="AK6" i="2"/>
  <c r="AJ6" i="2"/>
  <c r="AI6" i="2"/>
  <c r="BE6" i="2" s="1"/>
  <c r="AM5" i="2"/>
  <c r="AL5" i="2"/>
  <c r="AK5" i="2"/>
  <c r="AJ5" i="2"/>
  <c r="AI5" i="2"/>
  <c r="BE5" i="2" s="1"/>
  <c r="C8" i="7" l="1"/>
  <c r="AI2" i="2"/>
  <c r="BE2" i="2" s="1"/>
  <c r="AK2" i="2"/>
  <c r="AL2" i="2"/>
  <c r="AM2" i="2"/>
  <c r="AJ2" i="2"/>
  <c r="AM11" i="2"/>
  <c r="AL11" i="2"/>
  <c r="AK11" i="2"/>
  <c r="AJ11" i="2"/>
  <c r="AI11" i="2"/>
  <c r="BE11" i="2" s="1"/>
  <c r="AM9" i="2"/>
  <c r="AL9" i="2"/>
  <c r="AK9" i="2"/>
  <c r="AJ9" i="2"/>
  <c r="AI9" i="2"/>
  <c r="AM3" i="2"/>
  <c r="AL3" i="2"/>
  <c r="AK3" i="2"/>
  <c r="AJ3" i="2"/>
  <c r="AI3" i="2"/>
  <c r="BE3" i="2" s="1"/>
  <c r="AM7" i="2"/>
  <c r="AL7" i="2"/>
  <c r="AK7" i="2"/>
  <c r="AJ7" i="2"/>
  <c r="AI7" i="2"/>
  <c r="BE7" i="2" s="1"/>
  <c r="AM4" i="2"/>
  <c r="AL4" i="2"/>
  <c r="AK4" i="2"/>
  <c r="AJ4" i="2"/>
  <c r="AI4" i="2"/>
  <c r="AN10" i="2"/>
  <c r="AO10" i="2"/>
  <c r="AP10" i="2"/>
  <c r="AQ10" i="2"/>
  <c r="AR10" i="2"/>
  <c r="AS10" i="2"/>
  <c r="AT10" i="2"/>
  <c r="AU10" i="2"/>
  <c r="AV10" i="2"/>
  <c r="AW10" i="2"/>
  <c r="AX10" i="2"/>
  <c r="AY10" i="2"/>
  <c r="AZ10" i="2"/>
  <c r="BA10" i="2"/>
  <c r="BB10" i="2"/>
  <c r="AN6" i="2"/>
  <c r="AO6" i="2"/>
  <c r="AP6" i="2"/>
  <c r="AQ6" i="2"/>
  <c r="AR6" i="2"/>
  <c r="AS6" i="2"/>
  <c r="AT6" i="2"/>
  <c r="AU6" i="2"/>
  <c r="AV6" i="2"/>
  <c r="AW6" i="2"/>
  <c r="AX6" i="2"/>
  <c r="AY6" i="2"/>
  <c r="AZ6" i="2"/>
  <c r="BA6" i="2"/>
  <c r="BB6" i="2"/>
  <c r="AN5" i="2"/>
  <c r="AO5" i="2"/>
  <c r="AP5" i="2" s="1"/>
  <c r="AQ5" i="2"/>
  <c r="AR5" i="2"/>
  <c r="AT5" i="2"/>
  <c r="AY5" i="2"/>
  <c r="D11" i="7" a="1"/>
  <c r="D11" i="7" s="1"/>
  <c r="B11" i="7"/>
  <c r="D8" i="7" l="1" a="1"/>
  <c r="D8" i="7" s="1"/>
  <c r="B8" i="7"/>
  <c r="AO2" i="2"/>
  <c r="AN2" i="2"/>
  <c r="AP2" i="2"/>
  <c r="AQ2" i="2"/>
  <c r="AR2" i="2"/>
  <c r="AS2" i="2"/>
  <c r="AT2" i="2"/>
  <c r="AU2" i="2"/>
  <c r="AV2" i="2"/>
  <c r="AW2" i="2"/>
  <c r="AX2" i="2"/>
  <c r="AY2" i="2"/>
  <c r="AZ2" i="2"/>
  <c r="BA2" i="2"/>
  <c r="BB2" i="2"/>
  <c r="AS5" i="2"/>
  <c r="AW5" i="2"/>
  <c r="AN11" i="2"/>
  <c r="AO11" i="2"/>
  <c r="AP11" i="2"/>
  <c r="AQ11" i="2"/>
  <c r="AR11" i="2"/>
  <c r="AS11" i="2"/>
  <c r="AT11" i="2"/>
  <c r="AU11" i="2"/>
  <c r="AV11" i="2"/>
  <c r="AW11" i="2"/>
  <c r="AX11" i="2"/>
  <c r="AY11" i="2"/>
  <c r="AZ11" i="2"/>
  <c r="BA11" i="2"/>
  <c r="BB11" i="2"/>
  <c r="AN9" i="2"/>
  <c r="AO9" i="2"/>
  <c r="AP9" i="2" s="1"/>
  <c r="AQ9" i="2"/>
  <c r="AR9" i="2"/>
  <c r="AT9" i="2"/>
  <c r="AY9" i="2"/>
  <c r="AN3" i="2"/>
  <c r="AO3" i="2"/>
  <c r="AP3" i="2" s="1"/>
  <c r="AQ3" i="2"/>
  <c r="AR3" i="2"/>
  <c r="AT3" i="2"/>
  <c r="AY3" i="2"/>
  <c r="AN7" i="2"/>
  <c r="AO7" i="2"/>
  <c r="AP7" i="2"/>
  <c r="AQ7" i="2"/>
  <c r="AR7" i="2"/>
  <c r="AS7" i="2"/>
  <c r="AT7" i="2"/>
  <c r="AU7" i="2"/>
  <c r="AV7" i="2"/>
  <c r="AW7" i="2"/>
  <c r="AX7" i="2"/>
  <c r="AY7" i="2"/>
  <c r="AZ7" i="2"/>
  <c r="BA7" i="2"/>
  <c r="BB7" i="2"/>
  <c r="AN4" i="2"/>
  <c r="AO4" i="2"/>
  <c r="AP4" i="2"/>
  <c r="AQ4" i="2"/>
  <c r="AR4" i="2"/>
  <c r="AS4" i="2"/>
  <c r="AT4" i="2"/>
  <c r="AU4" i="2"/>
  <c r="AV4" i="2"/>
  <c r="AW4" i="2"/>
  <c r="AX4" i="2"/>
  <c r="AY4" i="2"/>
  <c r="AZ4" i="2"/>
  <c r="BA4" i="2"/>
  <c r="BB4" i="2"/>
  <c r="BE9" i="2"/>
  <c r="B10" i="6"/>
  <c r="B15" i="6"/>
  <c r="B12" i="6"/>
  <c r="B11" i="6"/>
  <c r="B13" i="6"/>
  <c r="B16" i="6"/>
  <c r="C5" i="7"/>
  <c r="C6" i="7"/>
  <c r="B21" i="6"/>
  <c r="BE4" i="2"/>
  <c r="B14" i="6"/>
  <c r="AU5" i="2"/>
  <c r="AV5" i="2"/>
  <c r="B22" i="6" l="1"/>
  <c r="AW9" i="2"/>
  <c r="AS9" i="2"/>
  <c r="AW3" i="2"/>
  <c r="B17" i="6" s="1"/>
  <c r="AS3" i="2"/>
  <c r="B5" i="7"/>
  <c r="D5" i="7" a="1"/>
  <c r="D5" i="7" s="1"/>
  <c r="B6" i="7"/>
  <c r="D6" i="7" a="1"/>
  <c r="D6" i="7" s="1"/>
  <c r="AZ5" i="2"/>
  <c r="AX5" i="2"/>
  <c r="AU3" i="2"/>
  <c r="AV3" i="2"/>
  <c r="AV9" i="2" l="1"/>
  <c r="C9" i="7" s="1"/>
  <c r="AU9" i="2"/>
  <c r="C7" i="7"/>
  <c r="B7" i="7"/>
  <c r="BA5" i="2"/>
  <c r="BB5" i="2"/>
  <c r="AZ3" i="2"/>
  <c r="AX3" i="2"/>
  <c r="AZ9" i="2" l="1"/>
  <c r="AX9" i="2"/>
  <c r="B9" i="7"/>
  <c r="B16" i="7" s="1"/>
  <c r="D9" i="7" a="1"/>
  <c r="D9" i="7" s="1"/>
  <c r="BA3" i="2"/>
  <c r="BB3" i="2"/>
  <c r="B18" i="6"/>
  <c r="BB9" i="2" l="1"/>
  <c r="B20" i="6" s="1"/>
  <c r="BA9" i="2"/>
  <c r="B19" i="6" s="1"/>
  <c r="A11" i="1"/>
  <c r="B24" i="6"/>
</calcChain>
</file>

<file path=xl/sharedStrings.xml><?xml version="1.0" encoding="utf-8"?>
<sst xmlns="http://schemas.openxmlformats.org/spreadsheetml/2006/main" count="344" uniqueCount="232">
  <si>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</si>
  <si>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</si>
  <si>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</si>
  <si>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</si>
  <si>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</si>
  <si>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</si>
  <si>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</si>
  <si>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</si>
  <si>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0.1.4.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</si>
  <si>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</si>
  <si>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</si>
  <si>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</si>
  <si>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</si>
  <si>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</si>
  <si>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</si>
  <si>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</si>
  <si>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</si>
  <si>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</si>
  <si>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</si>
  <si>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</si>
  <si>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</si>
  <si>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</si>
  <si>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</si>
  <si>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</si>
  <si>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</si>
  <si>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</si>
  <si>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</si>
  <si>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</si>
  <si>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</si>
  <si>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</si>
  <si>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</si>
  <si>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</si>
  <si>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</si>
  <si>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</si>
  <si>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</si>
  <si>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</si>
  <si>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</si>
  <si>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</si>
  <si>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</si>
  <si>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</si>
  <si>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</si>
  <si>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</si>
  <si>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</si>
  <si>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</si>
  <si>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</si>
  <si>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</si>
  <si>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</si>
  <si>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</si>
  <si>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</si>
  <si>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</si>
  <si>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</si>
  <si>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</si>
  <si>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</si>
  <si>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NEC_end</t>
  </si>
  <si>
    <t>Days_late</t>
  </si>
  <si>
    <t>NEC</t>
  </si>
  <si>
    <t>GIC_estimated</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</si>
  <si>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</si>
  <si>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</si>
  <si>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</si>
  <si>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</si>
  <si>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</si>
  <si>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</si>
  <si>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</si>
  <si>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</si>
  <si>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</si>
  <si>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</si>
  <si>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</si>
  <si>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</si>
  <si>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</si>
  <si>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</si>
  <si>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</si>
  <si>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</si>
  <si>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</si>
  <si>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</si>
  <si>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</si>
  <si>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</si>
  <si>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</si>
  <si>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</si>
  <si>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</si>
  <si>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</si>
  <si>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</si>
  <si>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</si>
  <si>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</si>
  <si>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</si>
  <si>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</si>
  <si>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</si>
  <si>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</si>
  <si>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</si>
  <si>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</si>
  <si>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</si>
  <si>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</si>
  <si>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</si>
  <si>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</si>
  <si>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</si>
  <si>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</si>
  <si>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</si>
  <si>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</si>
  <si>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</si>
  <si>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</si>
  <si>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</si>
  <si>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</si>
  <si>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</si>
  <si>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</si>
  <si>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</si>
  <si>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</si>
  <si>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</si>
  <si>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</si>
  <si>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</si>
  <si>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</si>
  <si>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</si>
  <si>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</si>
  <si>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</si>
  <si>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</si>
  <si>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</si>
  <si>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</si>
  <si>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</si>
  <si>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</si>
  <si>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</si>
  <si>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</si>
  <si>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</si>
  <si>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</si>
  <si>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</si>
  <si>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</si>
  <si>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</si>
  <si>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</si>
  <si>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</si>
  <si>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</si>
  <si>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</si>
  <si>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</si>
  <si>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</si>
  <si>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</si>
  <si>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</si>
  <si>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</si>
  <si>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</si>
  <si>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</si>
  <si>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</si>
  <si>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</si>
  <si>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</si>
  <si>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</si>
  <si>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</si>
  <si>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</si>
  <si>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</si>
  <si>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</si>
  <si>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</si>
  <si>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</si>
  <si>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</si>
  <si>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</si>
  <si>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</si>
  <si>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</si>
  <si>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</si>
  <si>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</si>
  <si>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</si>
  <si>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</si>
  <si>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</si>
  <si>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</si>
  <si>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</si>
  <si>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</si>
  <si>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</si>
  <si>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</si>
  <si>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</si>
  <si>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</si>
  <si>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</si>
  <si>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</si>
  <si>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</si>
  <si>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</si>
  <si>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</si>
  <si>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</si>
  <si>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</si>
  <si>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</si>
  <si>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</si>
  <si>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</si>
  <si>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estimate</t>
  </si>
  <si>
    <t>General interest charge, TAA 1953 s 8AAD: annual rate divided by the days in the calendar year. Rows marked estimate carry the last known rate forward, as the engine does, and the workbook flags any line that uses them. Update each quarter from the ATO GIC rates page and set basis to known.</t>
  </si>
  <si>
    <t>Inputs</t>
  </si>
  <si>
    <t>As-at date (notional earnings on unpaid lines run to it)</t>
  </si>
  <si>
    <t>ATO assessment date (blank if none has issued)</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</si>
  <si>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</si>
  <si>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</si>
  <si>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</si>
  <si>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</si>
  <si>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</si>
  <si>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</si>
  <si>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</si>
  <si>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</si>
  <si>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</si>
  <si>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</si>
  <si>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</si>
  <si>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</si>
  <si>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</si>
  <si>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</si>
  <si>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</si>
  <si>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</si>
  <si>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</si>
  <si>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</si>
  <si>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</si>
  <si>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</si>
  <si>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</si>
  <si>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</si>
  <si>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</si>
  <si>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</si>
  <si>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Notional earnings use only known GIC quarters</t>
  </si>
  <si>
    <t>No identical lines (a doubled export counts a payday twice)</t>
  </si>
  <si>
    <t>Lines assessed at a nil SG amount (nothing to assess)</t>
  </si>
  <si>
    <t>As-at, assessment and coverage dates on Summary are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</si>
  <si>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</si>
  <si>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</si>
  <si>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</si>
  <si>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</si>
  <si>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</si>
  <si>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</si>
  <si>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</si>
  <si>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</si>
  <si>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</si>
  <si>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</si>
  <si>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</si>
  <si>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</si>
  <si>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0.1.4</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</si>
  <si>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</si>
  <si>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</si>
  <si>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</si>
  <si>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</si>
  <si>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</si>
  <si>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</si>
  <si>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</si>
  <si>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</si>
  <si>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2026-09-30; later days carry the last known rate as an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</si>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</sst>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0" fontId="0" fillId="2" borderId="0" xfId="0" applyFill="1"/>
    <xf numFmtId="165" fontId="0" fillId="2" borderId="0" xfId="0" applyNumberFormat="1" applyFill="1"/>
    <xf numFmtId="164"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H11">
  <tableColumns count="60">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Flag_db">
      <calculatedColumnFormula>IF(OR(LOWER(TRIM(tblLines[[#This Row],[defined_benefit]]&amp;""))={"1","t","true","y","yes"}),1,IF(OR(LOWER(TRIM(tblLines[[#This Row],[defined_benefit]]&amp;""))={"","0","f","false","n","no"}),0,""))</calculatedColumnFormula>
    </tableColumn>
    <tableColumn id="13" xr3:uid="{00000000-0010-0000-0000-00000D000000}" name="Flag_ooc">
      <calculatedColumnFormula>IF(OR(LOWER(TRIM(tblLines[[#This Row],[out_of_cycle]]&amp;""))={"1","t","true","y","yes"}),1,IF(OR(LOWER(TRIM(tblLines[[#This Row],[out_of_cycle]]&amp;""))={"","0","f","false","n","no"}),0,""))</calculatedColumnFormula>
    </tableColumn>
    <tableColumn id="14" xr3:uid="{00000000-0010-0000-0000-00000E000000}" name="Flag_ftf">
      <calculatedColumnFormula>IF(OR(LOWER(TRIM(tblLines[[#This Row],[first_contribution_to_fund]]&amp;""))={"1","t","true","y","yes"}),1,IF(OR(LOWER(TRIM(tblLines[[#This Row],[first_contribution_to_fund]]&amp;""))={"","0","f","false","n","no"}),0,""))</calculatedColumnFormula>
    </tableColumn>
    <tableColumn id="15" xr3:uid="{00000000-0010-0000-0000-00000F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calculatedColumnFormula>
    </tableColumn>
    <tableColumn id="16" xr3:uid="{00000000-0010-0000-0000-000010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17" xr3:uid="{00000000-0010-0000-0000-000011000000}" name="Cap">
      <calculatedColumnFormula>IF(ISNUMBER(tblLines[[#This Row],[matched_amount]]),tblLines[[#This Row],[matched_amount]],IF(ISNUMBER(tblLines[[#This Row],[remitted_amount]]),tblLines[[#This Row],[remitted_amount]],tblLines[[#This Row],[sg_amount]]))</calculatedColumnFormula>
    </tableColumn>
    <tableColumn id="18" xr3:uid="{00000000-0010-0000-0000-000012000000}" name="Due_ooc">
      <calculatedColumnFormula>IF(AND(tblLines[[#This Row],[Flag_ooc]]=1,ISNUMBER(tblLines[[#This Row],[next_standard_payday]])),WORKDAY.INTL(tblLines[[#This Row],[next_standard_payday]],7,1,tblHolidays[date]),"")</calculatedColumnFormula>
    </tableColumn>
    <tableColumn id="19" xr3:uid="{00000000-0010-0000-0000-000013000000}" name="Due_ftf">
      <calculatedColumnFormula>IF(tblLines[[#This Row],[Flag_ftf]]=1,WORKDAY.INTL(tblLines[[#This Row],[payment_date]],20,1,tblHolidays[date]),"")</calculatedColumnFormula>
    </tableColumn>
    <tableColumn id="20" xr3:uid="{00000000-0010-0000-0000-000014000000}" name="Own_due">
      <calculatedColumnFormula>IF(OR(tblLines[[#This Row],[Flag_db]]=1,NOT(ISNUMBER(tblLines[[#This Row],[payment_date]]))),0,IF(OR(tblLines[[#This Row],[Flag_ooc]]=1,tblLines[[#This Row],[Flag_ftf]]=1),MAX(tblLines[[#This Row],[Due_ooc]],tblLines[[#This Row],[Due_ftf]]),WORKDAY.INTL(tblLines[[#This Row],[payment_date]],7,1,tblHolidays[date])))</calculatedColumnFormula>
    </tableColumn>
    <tableColumn id="21" xr3:uid="{00000000-0010-0000-0000-000015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2" xr3:uid="{00000000-0010-0000-0000-000016000000}" name="Earliest_prepay">
      <calculatedColumnFormula>IF(ISNUMBER(tblLines[[#This Row],[payment_date]]),EDATE(tblLines[[#This Row],[payment_date]]-1,-12)+1,"")</calculatedColumnFormula>
    </tableColumn>
    <tableColumn id="23" xr3:uid="{00000000-0010-0000-0000-000017000000}" name="Settled">
      <calculatedColumnFormula>IF(AND(ISNUMBER(tblLines[[#This Row],[fund_received_date]]),tblLines[[#This Row],[fund_received_date]]&lt;=Summary!$B$2),tblLines[[#This Row],[fund_received_date]],"")</calculatedColumnFormula>
    </tableColumn>
    <tableColumn id="24" xr3:uid="{00000000-0010-0000-0000-000018000000}" name="Remit">
      <calculatedColumnFormula>IF(AND(ISNUMBER(tblLines[[#This Row],[remitted_date]]),tblLines[[#This Row],[remitted_date]]&lt;=Summary!$B$2),tblLines[[#This Row],[remitted_date]],"")</calculatedColumnFormula>
    </tableColumn>
    <tableColumn id="25" xr3:uid="{00000000-0010-0000-0000-000019000000}" name="Receipt_credit">
      <calculatedColumnFormula>IF(tblLines[[#This Row],[Settled]]&lt;&gt;"",MIN(ROUND(tblLines[[#This Row],[Cap]],2),ROUND(tblLines[[#This Row],[sg_amount]],2)),0)</calculatedColumnFormula>
    </tableColumn>
    <tableColumn id="26" xr3:uid="{00000000-0010-0000-0000-00001A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27" xr3:uid="{00000000-0010-0000-0000-00001B000000}" name="Evidence_own">
      <calculatedColumnFormula>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calculatedColumnFormula>
    </tableColumn>
    <tableColumn id="28" xr3:uid="{00000000-0010-0000-0000-00001C000000}" name="Confirmed_latest">
      <calculatedColumnFormula array="1">IF(OR(tblLines[[#This Row],[Flag_db]]=1,tblLines[[#This Row],[Own_due]]=0),"",SUMPRODUCT(MAX(EXACT(tblLines[employee_id],tblLines[[#This Row],[employee_id]])*(tblLines[payment_date]&lt;tblLines[[#This Row],[payment_date]])*(tblLines[Evidence_own]="confirmed")*tblLines[Own_due])))</calculatedColumnFormula>
    </tableColumn>
    <tableColumn id="29" xr3:uid="{00000000-0010-0000-0000-00001D000000}" name="Possible_latest">
      <calculatedColumnFormula array="1">IF(OR(tblLines[[#This Row],[Flag_db]]=1,tblLines[[#This Row],[Own_due]]=0),"",SUMPRODUCT(MAX(EXACT(tblLines[employee_id],tblLines[[#This Row],[employee_id]])*(tblLines[payment_date]&lt;tblLines[[#This Row],[payment_date]])*(tblLines[Evidence_own]&lt;&gt;"impossible")*tblLines[Own_due])))</calculatedColumnFormula>
    </tableColumn>
    <tableColumn id="30" xr3:uid="{00000000-0010-0000-0000-00001E000000}" name="Final_due">
      <calculatedColumnFormula>IF(tblLines[[#This Row],[Own_due]]=0,"",IF(AND(ISNUMBER(tblLines[[#This Row],[Confirmed_latest]]),tblLines[[#This Row],[Confirmed_latest]]&gt;tblLines[[#This Row],[Own_due]]),tblLines[[#This Row],[Confirmed_latest]],tblLines[[#This Row],[Own_due]]))</calculatedColumnFormula>
    </tableColumn>
    <tableColumn id="31" xr3:uid="{00000000-0010-0000-0000-00001F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2" xr3:uid="{00000000-0010-0000-0000-000020000000}" name="Possible_item4">
      <calculatedColumnFormula>IF(tblLines[[#This Row],[Final_due]]="","",IF(AND(ISNUMBER(tblLines[[#This Row],[Possible_latest]]),tblLines[[#This Row],[Possible_latest]]&gt;tblLines[[#This Row],[Final_due]]),tblLines[[#This Row],[Possible_latest]],""))</calculatedColumnFormula>
    </tableColumn>
    <tableColumn id="33" xr3:uid="{00000000-0010-0000-0000-000021000000}" name="Past_horizon">
      <calculatedColumnFormula>IF(tblLines[[#This Row],[Final_due]]="","",IF((tblLines[[#This Row],[Final_due]]&gt;Summary!$B$6),1,0))</calculatedColumnFormula>
    </tableColumn>
    <tableColumn id="34" xr3:uid="{00000000-0010-0000-0000-000022000000}" name="Branch">
      <calculatedColumnFormula>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calculatedColumnFormula>
    </tableColumn>
    <tableColumn id="35" xr3:uid="{00000000-0010-0000-0000-000023000000}" name="Verdict">
      <calculatedColumnFormula>IF(tblLines[[#This Row],[Branch]]="","",INDEX(tblCodes[verdict],MATCH(tblLines[[#This Row],[Branch]],tblCodes[code],0)))</calculatedColumnFormula>
    </tableColumn>
    <tableColumn id="36" xr3:uid="{00000000-0010-0000-0000-000024000000}" name="Unassessable_between">
      <calculatedColumnFormula>IF(tblLines[[#This Row],[Branch]]="","",T(INDEX(tblCodes[unassessable],MATCH(tblLines[[#This Row],[Branch]],tblCodes[code],0))))</calculatedColumnFormula>
    </tableColumn>
    <tableColumn id="37" xr3:uid="{00000000-0010-0000-0000-000025000000}" name="Exposed">
      <calculatedColumnFormula>IF(tblLines[[#This Row],[Branch]]="",0,INDEX(tblCodes[exposed],MATCH(tblLines[[#This Row],[Branch]],tblCodes[code],0)))</calculatedColumnFormula>
    </tableColumn>
    <tableColumn id="38" xr3:uid="{00000000-0010-0000-0000-000026000000}" name="Stale_prepay">
      <calculatedColumnFormula>IF(tblLines[[#This Row],[Branch]]="",0,INDEX(tblCodes[stale],MATCH(tblLines[[#This Row],[Branch]],tblCodes[code],0)))</calculatedColumnFormula>
    </tableColumn>
    <tableColumn id="39" xr3:uid="{00000000-0010-0000-0000-000027000000}" name="OTRC">
      <calculatedColumnFormula>IF(tblLines[[#This Row],[Branch]]="",0,INDEX(tblCodes[otrc],MATCH(tblLines[[#This Row],[Branch]],tblCodes[code],0))*tblLines[[#This Row],[Receipt_credit]])</calculatedColumnFormula>
    </tableColumn>
    <tableColumn id="40" xr3:uid="{00000000-0010-0000-0000-000028000000}" name="Base_shortfall">
      <calculatedColumnFormula>IF((tblLines[[#This Row],[Exposed]]=1),MAX(ROUND(tblLines[[#This Row],[sg_amount]],2)-tblLines[[#This Row],[OTRC]],0),"")</calculatedColumnFormula>
    </tableColumn>
    <tableColumn id="41" xr3:uid="{00000000-0010-0000-0000-000029000000}" name="Offset_s18D">
      <calculatedColumnFormula>IF((tblLines[[#This Row],[Exposed]]=1),IF(AND(tblLines[[#This Row],[Settled]]&lt;&gt;"",tblLines[[#This Row],[Stale_prepay]]=0,tblLines[[#This Row],[Settled]]&gt;tblLines[[#This Row],[Final_due]],OR(Summary!$B$3="",tblLines[[#This Row],[Settled]]&lt;Summary!$B$3)),MIN(tblLines[[#This Row],[Receipt_credit]],tblLines[[#This Row],[Base_shortfall]]),0),"")</calculatedColumnFormula>
    </tableColumn>
    <tableColumn id="42" xr3:uid="{00000000-0010-0000-0000-00002A000000}" name="Final_shortfall">
      <calculatedColumnFormula>IF((tblLines[[#This Row],[Exposed]]=1),MAX(tblLines[[#This Row],[Base_shortfall]]-tblLines[[#This Row],[Offset_s18D]],0),"")</calculatedColumnFormula>
    </tableColumn>
    <tableColumn id="43" xr3:uid="{00000000-0010-0000-0000-00002B000000}" name="Lateness_basis">
      <calculatedColumnFormula>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4" xr3:uid="{00000000-0010-0000-0000-00002C000000}" name="Outstanding_to">
      <calculatedColumnFormula>IF((tblLines[[#This Row],[Exposed]]=1),IF(AND(tblLines[[#This Row],[Settled]]&lt;&gt;"",tblLines[[#This Row],[Stale_prepay]]=0,(tblLines[[#This Row],[Receipt_credit]]&gt;=tblLines[[#This Row],[sg_amount]])),tblLines[[#This Row],[Settled]],Summary!$B$2),"")</calculatedColumnFormula>
    </tableColumn>
    <tableColumn id="45" xr3:uid="{00000000-0010-0000-0000-00002D000000}" name="NEC_end">
      <calculatedColumnFormula>IF((tblLines[[#This Row],[Exposed]]=1),MIN(IF(Summary!$B$3="",DATE(2030,12,31),Summary!$B$3-1),IF(AND(tblLines[[#This Row],[Settled]]&lt;&gt;"",tblLines[[#This Row],[Stale_prepay]]=0,(tblLines[[#This Row],[Receipt_credit]]&gt;=tblLines[[#This Row],[sg_amount]]),tblLines[[#This Row],[Final_shortfall]]=0),tblLines[[#This Row],[Settled]],Summary!$B$2)),"")</calculatedColumnFormula>
    </tableColumn>
    <tableColumn id="46" xr3:uid="{00000000-0010-0000-0000-00002E000000}" name="Days_late">
      <calculatedColumnFormula>IF((tblLines[[#This Row],[Exposed]]=1),IF(tblLines[[#This Row],[Past_horizon]]=1,"",MAX(tblLines[[#This Row],[Outstanding_to]]-tblLines[[#This Row],[Final_due]],0)),"")</calculatedColumnFormula>
    </tableColumn>
    <tableColumn id="47" xr3:uid="{00000000-0010-0000-0000-00002F000000}" name="NEC">
      <calculatedColumnFormula>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48" xr3:uid="{00000000-0010-0000-0000-000030000000}" name="GIC_estimated">
      <calculatedColumnFormula>IF((tblLines[[#This Row],[Exposed]]=1),IF(tblLines[[#This Row],[NEC_end]]&gt;Summary!$B$7,1,0),"")</calculatedColumnFormula>
    </tableColumn>
    <tableColumn id="49" xr3:uid="{00000000-0010-0000-0000-000031000000}" name="Shortfall_r">
      <calculatedColumnFormula>IF((tblLines[[#This Row],[Exposed]]=1),ROUND(tblLines[[#This Row],[Final_shortfall]],2),"")</calculatedColumnFormula>
    </tableColumn>
    <tableColumn id="50" xr3:uid="{00000000-0010-0000-0000-000032000000}" name="NEC_r">
      <calculatedColumnFormula>IF((tblLines[[#This Row],[Exposed]]=1),ROUND(tblLines[[#This Row],[NEC]],2),"")</calculatedColumnFormula>
    </tableColumn>
    <tableColumn id="51" xr3:uid="{00000000-0010-0000-0000-000033000000}" name="Uplift_best">
      <calculatedColumnFormula>IF((tblLines[[#This Row],[Exposed]]=1),0,"")</calculatedColumnFormula>
    </tableColumn>
    <tableColumn id="52" xr3:uid="{00000000-0010-0000-0000-000034000000}" name="Uplift_worst">
      <calculatedColumnFormula>IF((tblLines[[#This Row],[Exposed]]=1),ROUND(0.6*(tblLines[[#This Row],[Final_shortfall]]+tblLines[[#This Row],[NEC]]),2),"")</calculatedColumnFormula>
    </tableColumn>
    <tableColumn id="53" xr3:uid="{00000000-0010-0000-0000-000035000000}" name="SGC_low">
      <calculatedColumnFormula>IF((tblLines[[#This Row],[Exposed]]=1),tblLines[[#This Row],[Shortfall_r]]+tblLines[[#This Row],[NEC_r]]+tblLines[[#This Row],[Uplift_best]],"")</calculatedColumnFormula>
    </tableColumn>
    <tableColumn id="54" xr3:uid="{00000000-0010-0000-0000-000036000000}" name="SGC_high">
      <calculatedColumnFormula>IF((tblLines[[#This Row],[Exposed]]=1),tblLines[[#This Row],[Shortfall_r]]+tblLines[[#This Row],[NEC_r]]+tblLines[[#This Row],[Uplift_worst]],"")</calculatedColumnFormula>
    </tableColumn>
    <tableColumn id="55" xr3:uid="{00000000-0010-0000-0000-000037000000}" name="Transition_row">
      <calculatedColumnFormula>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calculatedColumnFormula>
    </tableColumn>
    <tableColumn id="56" xr3:uid="{00000000-0010-0000-0000-000038000000}" name="Receipt_established">
      <calculatedColumnFormula>IF(tblLines[[#This Row],[Settled]]&lt;&gt;"",1,0)</calculatedColumnFormula>
    </tableColumn>
    <tableColumn id="57" xr3:uid="{00000000-0010-0000-0000-000039000000}" name="Assessable">
      <calculatedColumnFormula>IF(AND(tblLines[[#This Row],[Verdict]]&lt;&gt;"",tblLines[[#This Row],[Verdict]]&lt;&gt;"SKIPPED",ISNUMBER(tblLines[[#This Row],[sg_amount]]),tblLines[[#This Row],[sg_amount]]&gt;0),1,0)</calculatedColumnFormula>
    </tableColumn>
    <tableColumn id="58" xr3:uid="{00000000-0010-0000-0000-00003A000000}" name="Duplicate">
      <calculatedColumnFormula>IF(COUNTIFS(tblLines[employee_id],tblLines[[#This Row],[employee_id]],tblLines[payment_date],tblLines[[#This Row],[payment_date]],tblLines[sg_amount],tblLines[[#This Row],[sg_amount]],tblLines[remitted_date],tblLines[[#This Row],[remitted_date]]&amp;"",tblLines[fund_received_date],tblLines[[#This Row],[fund_received_date]]&amp;"")&gt;1,1,0)</calculatedColumnFormula>
    </tableColumn>
    <tableColumn id="59" xr3:uid="{00000000-0010-0000-0000-00003B000000}" name="Case_variant">
      <calculatedColumnFormula array="1">IF(COUNTIF(tblLines[employee_id],tblLines[[#This Row],[employee_id]])&gt;SUMPRODUCT(--EXACT(tblLines[employee_id],tblLines[[#This Row],[employee_id]])),1,0)</calculatedColumnFormula>
    </tableColumn>
    <tableColumn id="60" xr3:uid="{00000000-0010-0000-0000-00003C000000}" name="Sample_row">
      <calculatedColumnFormula>IF(AND(ISNUMBER(MATCH(tblLines[[#This Row],[employee_id]],{"EMP001","EMP002","EMP003","EMP004","EMP005","EMP006","EMP007","EMP001","EMP002","EMP005"},0)),ISNUMBER(MATCH(tblLines[[#This Row],[payment_date]],{46212,46212,46212,46212,46212,46218,46212,46226,46226,46226},0))),1,0)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8">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1"/>
  <sheetViews>
    <sheetView workbookViewId="0">
      <pane xSplit="1" ySplit="1" topLeftCell="B2" activePane="bottomRight" state="frozen"/>
      <selection pane="topRight"/>
      <selection pane="bottomLeft"/>
      <selection pane="bottomRight"/>
    </sheetView>
  </sheetViews>
  <sheetFormatPr defaultRowHeight="15" x14ac:dyDescent="0.25"/>
  <cols>
    <col min="1" max="14" width="13" customWidth="1"/>
    <col min="15" max="15" width="30" customWidth="1"/>
    <col min="16" max="35" width="13" customWidth="1"/>
    <col min="36" max="36" width="22" customWidth="1"/>
    <col min="37" max="42" width="13" customWidth="1"/>
    <col min="43" max="43" width="34" customWidth="1"/>
    <col min="44" max="60" width="13" customWidth="1"/>
  </cols>
  <sheetData>
    <row r="1" spans="1:60"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row>
    <row r="2" spans="1:60" x14ac:dyDescent="0.25">
      <c r="A2" s="6" t="s">
        <v>69</v>
      </c>
      <c r="B2" s="7">
        <v>46212</v>
      </c>
      <c r="C2" s="8">
        <v>612</v>
      </c>
      <c r="D2" s="7">
        <v>46217</v>
      </c>
      <c r="E2" s="8"/>
      <c r="F2" s="8"/>
      <c r="G2" s="7">
        <v>46219</v>
      </c>
      <c r="H2" s="6" t="s">
        <v>70</v>
      </c>
      <c r="I2" s="6" t="s">
        <v>70</v>
      </c>
      <c r="J2" s="7"/>
      <c r="K2" s="6" t="s">
        <v>70</v>
      </c>
      <c r="L2" s="9">
        <f>IF(OR(LOWER(TRIM(tblLines[[#This Row],[defined_benefit]]&amp;""))={"1","t","true","y","yes"}),1,IF(OR(LOWER(TRIM(tblLines[[#This Row],[defined_benefit]]&amp;""))={"","0","f","false","n","no"}),0,""))</f>
        <v>0</v>
      </c>
      <c r="M2" s="9">
        <f>IF(OR(LOWER(TRIM(tblLines[[#This Row],[out_of_cycle]]&amp;""))={"1","t","true","y","yes"}),1,IF(OR(LOWER(TRIM(tblLines[[#This Row],[out_of_cycle]]&amp;""))={"","0","f","false","n","no"}),0,""))</f>
        <v>0</v>
      </c>
      <c r="N2" s="9">
        <f>IF(OR(LOWER(TRIM(tblLines[[#This Row],[first_contribution_to_fund]]&amp;""))={"1","t","true","y","yes"}),1,IF(OR(LOWER(TRIM(tblLines[[#This Row],[first_contribution_to_fund]]&amp;""))={"","0","f","false","n","no"}),0,""))</f>
        <v>0</v>
      </c>
      <c r="O2"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2"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2" s="10">
        <f>IF(ISNUMBER(tblLines[[#This Row],[matched_amount]]),tblLines[[#This Row],[matched_amount]],IF(ISNUMBER(tblLines[[#This Row],[remitted_amount]]),tblLines[[#This Row],[remitted_amount]],tblLines[[#This Row],[sg_amount]]))</f>
        <v>612</v>
      </c>
      <c r="R2" s="11" t="str">
        <f>IF(AND(tblLines[[#This Row],[Flag_ooc]]=1,ISNUMBER(tblLines[[#This Row],[next_standard_payday]])),WORKDAY.INTL(tblLines[[#This Row],[next_standard_payday]],7,1,tblHolidays[date]),"")</f>
        <v/>
      </c>
      <c r="S2" s="11" t="str">
        <f>IF(tblLines[[#This Row],[Flag_ftf]]=1,WORKDAY.INTL(tblLines[[#This Row],[payment_date]],20,1,tblHolidays[date]),"")</f>
        <v/>
      </c>
      <c r="T2" s="11">
        <f>IF(OR(tblLines[[#This Row],[Flag_db]]=1,NOT(ISNUMBER(tblLines[[#This Row],[payment_date]]))),0,IF(OR(tblLines[[#This Row],[Flag_ooc]]=1,tblLines[[#This Row],[Flag_ftf]]=1),MAX(tblLines[[#This Row],[Due_ooc]],tblLines[[#This Row],[Due_ftf]]),WORKDAY.INTL(tblLines[[#This Row],[payment_date]],7,1,tblHolidays[date])))</f>
        <v>46223</v>
      </c>
      <c r="U2" s="9" t="str">
        <f>IF(tblLines[[#This Row],[Flag_db]]=1,"SKIP_DB",IF(tblLines[[#This Row],[Flag_ooc]]=1,IF(AND(tblLines[[#This Row],[Flag_ftf]]=1,tblLines[[#This Row],[Due_ftf]]&gt;tblLines[[#This Row],[Due_ooc]]),"EXTENDED_20BD","OUT_OF_CYCLE"),IF(tblLines[[#This Row],[Flag_ftf]]=1,"EXTENDED_20BD","USUAL_7BD")))</f>
        <v>USUAL_7BD</v>
      </c>
      <c r="V2" s="11">
        <f>IF(ISNUMBER(tblLines[[#This Row],[payment_date]]),EDATE(tblLines[[#This Row],[payment_date]]-1,-12)+1,"")</f>
        <v>45847</v>
      </c>
      <c r="W2" s="11">
        <f>IF(AND(ISNUMBER(tblLines[[#This Row],[fund_received_date]]),tblLines[[#This Row],[fund_received_date]]&lt;=Summary!$B$2),tblLines[[#This Row],[fund_received_date]],"")</f>
        <v>46219</v>
      </c>
      <c r="X2" s="11">
        <f>IF(AND(ISNUMBER(tblLines[[#This Row],[remitted_date]]),tblLines[[#This Row],[remitted_date]]&lt;=Summary!$B$2),tblLines[[#This Row],[remitted_date]],"")</f>
        <v>46217</v>
      </c>
      <c r="Y2" s="10">
        <f>IF(tblLines[[#This Row],[Settled]]&lt;&gt;"",MIN(ROUND(tblLines[[#This Row],[Cap]],2),ROUND(tblLines[[#This Row],[sg_amount]],2)),0)</f>
        <v>612</v>
      </c>
      <c r="Z2" s="10">
        <f>IF(ISNUMBER(tblLines[[#This Row],[remitted_amount]]),IF(tblLines[[#This Row],[Remit]]&lt;&gt;"",MIN(ROUND(tblLines[[#This Row],[remitted_amount]],2),ROUND(tblLines[[#This Row],[sg_amount]],2)),0),IF(tblLines[[#This Row],[Remit]]&lt;&gt;"",ROUND(tblLines[[#This Row],[sg_amount]],2),0))</f>
        <v>612</v>
      </c>
      <c r="AA2"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2" s="11">
        <f t="array" ref="AB2">IF(OR(tblLines[[#This Row],[Flag_db]]=1,tblLines[[#This Row],[Own_due]]=0),"",SUMPRODUCT(MAX(EXACT(tblLines[employee_id],tblLines[[#This Row],[employee_id]])*(tblLines[payment_date]&lt;tblLines[[#This Row],[payment_date]])*(tblLines[Evidence_own]="confirmed")*tblLines[Own_due])))</f>
        <v>0</v>
      </c>
      <c r="AC2" s="11">
        <f t="array" ref="AC2">IF(OR(tblLines[[#This Row],[Flag_db]]=1,tblLines[[#This Row],[Own_due]]=0),"",SUMPRODUCT(MAX(EXACT(tblLines[employee_id],tblLines[[#This Row],[employee_id]])*(tblLines[payment_date]&lt;tblLines[[#This Row],[payment_date]])*(tblLines[Evidence_own]&lt;&gt;"impossible")*tblLines[Own_due])))</f>
        <v>0</v>
      </c>
      <c r="AD2" s="11">
        <f>IF(tblLines[[#This Row],[Own_due]]=0,"",IF(AND(ISNUMBER(tblLines[[#This Row],[Confirmed_latest]]),tblLines[[#This Row],[Confirmed_latest]]&gt;tblLines[[#This Row],[Own_due]]),tblLines[[#This Row],[Confirmed_latest]],tblLines[[#This Row],[Own_due]]))</f>
        <v>46223</v>
      </c>
      <c r="AE2" s="9" t="str">
        <f>IF(tblLines[[#This Row],[Own_due]]=0,tblLines[[#This Row],[Own_pathway]],IF(AND(ISNUMBER(tblLines[[#This Row],[Confirmed_latest]]),tblLines[[#This Row],[Confirmed_latest]]&gt;tblLines[[#This Row],[Own_due]]),"ITEM4_ALIGNED",tblLines[[#This Row],[Own_pathway]]))</f>
        <v>USUAL_7BD</v>
      </c>
      <c r="AF2" s="11" t="str">
        <f>IF(tblLines[[#This Row],[Final_due]]="","",IF(AND(ISNUMBER(tblLines[[#This Row],[Possible_latest]]),tblLines[[#This Row],[Possible_latest]]&gt;tblLines[[#This Row],[Final_due]]),tblLines[[#This Row],[Possible_latest]],""))</f>
        <v/>
      </c>
      <c r="AG2" s="9">
        <f>IF(tblLines[[#This Row],[Final_due]]="","",IF((tblLines[[#This Row],[Final_due]]&gt;Summary!$B$6),1,0))</f>
        <v>0</v>
      </c>
      <c r="AH2"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2" s="9" t="str">
        <f>IF(tblLines[[#This Row],[Branch]]="","",INDEX(tblCodes[verdict],MATCH(tblLines[[#This Row],[Branch]],tblCodes[code],0)))</f>
        <v>ON_TIME</v>
      </c>
      <c r="AJ2" s="9" t="str">
        <f>IF(tblLines[[#This Row],[Branch]]="","",T(INDEX(tblCodes[unassessable],MATCH(tblLines[[#This Row],[Branch]],tblCodes[code],0))))</f>
        <v/>
      </c>
      <c r="AK2" s="9">
        <f>IF(tblLines[[#This Row],[Branch]]="",0,INDEX(tblCodes[exposed],MATCH(tblLines[[#This Row],[Branch]],tblCodes[code],0)))</f>
        <v>0</v>
      </c>
      <c r="AL2" s="9">
        <f>IF(tblLines[[#This Row],[Branch]]="",0,INDEX(tblCodes[stale],MATCH(tblLines[[#This Row],[Branch]],tblCodes[code],0)))</f>
        <v>0</v>
      </c>
      <c r="AM2" s="10">
        <f>IF(tblLines[[#This Row],[Branch]]="",0,INDEX(tblCodes[otrc],MATCH(tblLines[[#This Row],[Branch]],tblCodes[code],0))*tblLines[[#This Row],[Receipt_credit]])</f>
        <v>612</v>
      </c>
      <c r="AN2" s="10" t="str">
        <f>IF((tblLines[[#This Row],[Exposed]]=1),MAX(ROUND(tblLines[[#This Row],[sg_amount]],2)-tblLines[[#This Row],[OTRC]],0),"")</f>
        <v/>
      </c>
      <c r="AO2" s="10" t="str">
        <f>IF((tblLines[[#This Row],[Exposed]]=1),IF(AND(tblLines[[#This Row],[Settled]]&lt;&gt;"",tblLines[[#This Row],[Stale_prepay]]=0,tblLines[[#This Row],[Settled]]&gt;tblLines[[#This Row],[Final_due]],OR(Summary!$B$3="",tblLines[[#This Row],[Settled]]&lt;Summary!$B$3)),MIN(tblLines[[#This Row],[Receipt_credit]],tblLines[[#This Row],[Base_shortfall]]),0),"")</f>
        <v/>
      </c>
      <c r="AP2" s="10" t="str">
        <f>IF((tblLines[[#This Row],[Exposed]]=1),MAX(tblLines[[#This Row],[Base_shortfall]]-tblLines[[#This Row],[Offset_s18D]],0),"")</f>
        <v/>
      </c>
      <c r="AQ2"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2" s="11" t="str">
        <f>IF((tblLines[[#This Row],[Exposed]]=1),IF(AND(tblLines[[#This Row],[Settled]]&lt;&gt;"",tblLines[[#This Row],[Stale_prepay]]=0,(tblLines[[#This Row],[Receipt_credit]]&gt;=tblLines[[#This Row],[sg_amount]])),tblLines[[#This Row],[Settled]],Summary!$B$2),"")</f>
        <v/>
      </c>
      <c r="AS2" s="11" t="str">
        <f>IF((tblLines[[#This Row],[Exposed]]=1),MIN(IF(Summary!$B$3="",DATE(2030,12,31),Summary!$B$3-1),IF(AND(tblLines[[#This Row],[Settled]]&lt;&gt;"",tblLines[[#This Row],[Stale_prepay]]=0,(tblLines[[#This Row],[Receipt_credit]]&gt;=tblLines[[#This Row],[sg_amount]]),tblLines[[#This Row],[Final_shortfall]]=0),tblLines[[#This Row],[Settled]],Summary!$B$2)),"")</f>
        <v/>
      </c>
      <c r="AT2" s="9" t="str">
        <f>IF((tblLines[[#This Row],[Exposed]]=1),IF(tblLines[[#This Row],[Past_horizon]]=1,"",MAX(tblLines[[#This Row],[Outstanding_to]]-tblLines[[#This Row],[Final_due]],0)),"")</f>
        <v/>
      </c>
      <c r="AU2"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2" s="9" t="str">
        <f>IF((tblLines[[#This Row],[Exposed]]=1),IF(tblLines[[#This Row],[NEC_end]]&gt;Summary!$B$7,1,0),"")</f>
        <v/>
      </c>
      <c r="AW2" s="10" t="str">
        <f>IF((tblLines[[#This Row],[Exposed]]=1),ROUND(tblLines[[#This Row],[Final_shortfall]],2),"")</f>
        <v/>
      </c>
      <c r="AX2" s="10" t="str">
        <f>IF((tblLines[[#This Row],[Exposed]]=1),ROUND(tblLines[[#This Row],[NEC]],2),"")</f>
        <v/>
      </c>
      <c r="AY2" s="10" t="str">
        <f>IF((tblLines[[#This Row],[Exposed]]=1),0,"")</f>
        <v/>
      </c>
      <c r="AZ2" s="10" t="str">
        <f>IF((tblLines[[#This Row],[Exposed]]=1),ROUND(0.6*(tblLines[[#This Row],[Final_shortfall]]+tblLines[[#This Row],[NEC]]),2),"")</f>
        <v/>
      </c>
      <c r="BA2" s="10" t="str">
        <f>IF((tblLines[[#This Row],[Exposed]]=1),tblLines[[#This Row],[Shortfall_r]]+tblLines[[#This Row],[NEC_r]]+tblLines[[#This Row],[Uplift_best]],"")</f>
        <v/>
      </c>
      <c r="BB2" s="10" t="str">
        <f>IF((tblLines[[#This Row],[Exposed]]=1),tblLines[[#This Row],[Shortfall_r]]+tblLines[[#This Row],[NEC_r]]+tblLines[[#This Row],[Uplift_worst]],"")</f>
        <v/>
      </c>
      <c r="BC2"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1</v>
      </c>
      <c r="BD2" s="9">
        <f>IF(tblLines[[#This Row],[Settled]]&lt;&gt;"",1,0)</f>
        <v>1</v>
      </c>
      <c r="BE2" s="9">
        <f>IF(AND(tblLines[[#This Row],[Verdict]]&lt;&gt;"",tblLines[[#This Row],[Verdict]]&lt;&gt;"SKIPPED",ISNUMBER(tblLines[[#This Row],[sg_amount]]),tblLines[[#This Row],[sg_amount]]&gt;0),1,0)</f>
        <v>1</v>
      </c>
      <c r="BF2"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2" s="9">
        <f t="array" ref="BG2">IF(COUNTIF(tblLines[employee_id],tblLines[[#This Row],[employee_id]])&gt;SUMPRODUCT(--EXACT(tblLines[employee_id],tblLines[[#This Row],[employee_id]])),1,0)</f>
        <v>0</v>
      </c>
      <c r="BH2" s="9">
        <f>IF(AND(ISNUMBER(MATCH(tblLines[[#This Row],[employee_id]],{"EMP001","EMP002","EMP003","EMP004","EMP005","EMP006","EMP007","EMP001","EMP002","EMP005"},0)),ISNUMBER(MATCH(tblLines[[#This Row],[payment_date]],{46212,46212,46212,46212,46212,46218,46212,46226,46226,46226},0))),1,0)</f>
        <v>1</v>
      </c>
    </row>
    <row r="3" spans="1:60" x14ac:dyDescent="0.25">
      <c r="A3" s="6" t="s">
        <v>71</v>
      </c>
      <c r="B3" s="7">
        <v>46212</v>
      </c>
      <c r="C3" s="8">
        <v>540</v>
      </c>
      <c r="D3" s="7">
        <v>46233</v>
      </c>
      <c r="E3" s="8"/>
      <c r="F3" s="8"/>
      <c r="G3" s="7">
        <v>46238</v>
      </c>
      <c r="H3" s="6" t="s">
        <v>70</v>
      </c>
      <c r="I3" s="6" t="s">
        <v>70</v>
      </c>
      <c r="J3" s="7"/>
      <c r="K3" s="6" t="s">
        <v>70</v>
      </c>
      <c r="L3" s="9">
        <f>IF(OR(LOWER(TRIM(tblLines[[#This Row],[defined_benefit]]&amp;""))={"1","t","true","y","yes"}),1,IF(OR(LOWER(TRIM(tblLines[[#This Row],[defined_benefit]]&amp;""))={"","0","f","false","n","no"}),0,""))</f>
        <v>0</v>
      </c>
      <c r="M3" s="9">
        <f>IF(OR(LOWER(TRIM(tblLines[[#This Row],[out_of_cycle]]&amp;""))={"1","t","true","y","yes"}),1,IF(OR(LOWER(TRIM(tblLines[[#This Row],[out_of_cycle]]&amp;""))={"","0","f","false","n","no"}),0,""))</f>
        <v>0</v>
      </c>
      <c r="N3" s="9">
        <f>IF(OR(LOWER(TRIM(tblLines[[#This Row],[first_contribution_to_fund]]&amp;""))={"1","t","true","y","yes"}),1,IF(OR(LOWER(TRIM(tblLines[[#This Row],[first_contribution_to_fund]]&amp;""))={"","0","f","false","n","no"}),0,""))</f>
        <v>0</v>
      </c>
      <c r="O3"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3"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3" s="10">
        <f>IF(ISNUMBER(tblLines[[#This Row],[matched_amount]]),tblLines[[#This Row],[matched_amount]],IF(ISNUMBER(tblLines[[#This Row],[remitted_amount]]),tblLines[[#This Row],[remitted_amount]],tblLines[[#This Row],[sg_amount]]))</f>
        <v>540</v>
      </c>
      <c r="R3" s="11" t="str">
        <f>IF(AND(tblLines[[#This Row],[Flag_ooc]]=1,ISNUMBER(tblLines[[#This Row],[next_standard_payday]])),WORKDAY.INTL(tblLines[[#This Row],[next_standard_payday]],7,1,tblHolidays[date]),"")</f>
        <v/>
      </c>
      <c r="S3" s="11" t="str">
        <f>IF(tblLines[[#This Row],[Flag_ftf]]=1,WORKDAY.INTL(tblLines[[#This Row],[payment_date]],20,1,tblHolidays[date]),"")</f>
        <v/>
      </c>
      <c r="T3" s="11">
        <f>IF(OR(tblLines[[#This Row],[Flag_db]]=1,NOT(ISNUMBER(tblLines[[#This Row],[payment_date]]))),0,IF(OR(tblLines[[#This Row],[Flag_ooc]]=1,tblLines[[#This Row],[Flag_ftf]]=1),MAX(tblLines[[#This Row],[Due_ooc]],tblLines[[#This Row],[Due_ftf]]),WORKDAY.INTL(tblLines[[#This Row],[payment_date]],7,1,tblHolidays[date])))</f>
        <v>46223</v>
      </c>
      <c r="U3" s="9" t="str">
        <f>IF(tblLines[[#This Row],[Flag_db]]=1,"SKIP_DB",IF(tblLines[[#This Row],[Flag_ooc]]=1,IF(AND(tblLines[[#This Row],[Flag_ftf]]=1,tblLines[[#This Row],[Due_ftf]]&gt;tblLines[[#This Row],[Due_ooc]]),"EXTENDED_20BD","OUT_OF_CYCLE"),IF(tblLines[[#This Row],[Flag_ftf]]=1,"EXTENDED_20BD","USUAL_7BD")))</f>
        <v>USUAL_7BD</v>
      </c>
      <c r="V3" s="11">
        <f>IF(ISNUMBER(tblLines[[#This Row],[payment_date]]),EDATE(tblLines[[#This Row],[payment_date]]-1,-12)+1,"")</f>
        <v>45847</v>
      </c>
      <c r="W3" s="11">
        <f>IF(AND(ISNUMBER(tblLines[[#This Row],[fund_received_date]]),tblLines[[#This Row],[fund_received_date]]&lt;=Summary!$B$2),tblLines[[#This Row],[fund_received_date]],"")</f>
        <v>46238</v>
      </c>
      <c r="X3" s="11">
        <f>IF(AND(ISNUMBER(tblLines[[#This Row],[remitted_date]]),tblLines[[#This Row],[remitted_date]]&lt;=Summary!$B$2),tblLines[[#This Row],[remitted_date]],"")</f>
        <v>46233</v>
      </c>
      <c r="Y3" s="10">
        <f>IF(tblLines[[#This Row],[Settled]]&lt;&gt;"",MIN(ROUND(tblLines[[#This Row],[Cap]],2),ROUND(tblLines[[#This Row],[sg_amount]],2)),0)</f>
        <v>540</v>
      </c>
      <c r="Z3" s="10">
        <f>IF(ISNUMBER(tblLines[[#This Row],[remitted_amount]]),IF(tblLines[[#This Row],[Remit]]&lt;&gt;"",MIN(ROUND(tblLines[[#This Row],[remitted_amount]],2),ROUND(tblLines[[#This Row],[sg_amount]],2)),0),IF(tblLines[[#This Row],[Remit]]&lt;&gt;"",ROUND(tblLines[[#This Row],[sg_amount]],2),0))</f>
        <v>540</v>
      </c>
      <c r="AA3"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3" s="11">
        <f t="array" ref="AB3">IF(OR(tblLines[[#This Row],[Flag_db]]=1,tblLines[[#This Row],[Own_due]]=0),"",SUMPRODUCT(MAX(EXACT(tblLines[employee_id],tblLines[[#This Row],[employee_id]])*(tblLines[payment_date]&lt;tblLines[[#This Row],[payment_date]])*(tblLines[Evidence_own]="confirmed")*tblLines[Own_due])))</f>
        <v>0</v>
      </c>
      <c r="AC3" s="11">
        <f t="array" ref="AC3">IF(OR(tblLines[[#This Row],[Flag_db]]=1,tblLines[[#This Row],[Own_due]]=0),"",SUMPRODUCT(MAX(EXACT(tblLines[employee_id],tblLines[[#This Row],[employee_id]])*(tblLines[payment_date]&lt;tblLines[[#This Row],[payment_date]])*(tblLines[Evidence_own]&lt;&gt;"impossible")*tblLines[Own_due])))</f>
        <v>0</v>
      </c>
      <c r="AD3" s="11">
        <f>IF(tblLines[[#This Row],[Own_due]]=0,"",IF(AND(ISNUMBER(tblLines[[#This Row],[Confirmed_latest]]),tblLines[[#This Row],[Confirmed_latest]]&gt;tblLines[[#This Row],[Own_due]]),tblLines[[#This Row],[Confirmed_latest]],tblLines[[#This Row],[Own_due]]))</f>
        <v>46223</v>
      </c>
      <c r="AE3" s="9" t="str">
        <f>IF(tblLines[[#This Row],[Own_due]]=0,tblLines[[#This Row],[Own_pathway]],IF(AND(ISNUMBER(tblLines[[#This Row],[Confirmed_latest]]),tblLines[[#This Row],[Confirmed_latest]]&gt;tblLines[[#This Row],[Own_due]]),"ITEM4_ALIGNED",tblLines[[#This Row],[Own_pathway]]))</f>
        <v>USUAL_7BD</v>
      </c>
      <c r="AF3" s="11" t="str">
        <f>IF(tblLines[[#This Row],[Final_due]]="","",IF(AND(ISNUMBER(tblLines[[#This Row],[Possible_latest]]),tblLines[[#This Row],[Possible_latest]]&gt;tblLines[[#This Row],[Final_due]]),tblLines[[#This Row],[Possible_latest]],""))</f>
        <v/>
      </c>
      <c r="AG3" s="9">
        <f>IF(tblLines[[#This Row],[Final_due]]="","",IF((tblLines[[#This Row],[Final_due]]&gt;Summary!$B$6),1,0))</f>
        <v>0</v>
      </c>
      <c r="AH3"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E</v>
      </c>
      <c r="AI3" s="9" t="str">
        <f>IF(tblLines[[#This Row],[Branch]]="","",INDEX(tblCodes[verdict],MATCH(tblLines[[#This Row],[Branch]],tblCodes[code],0)))</f>
        <v>LATE</v>
      </c>
      <c r="AJ3" s="9" t="str">
        <f>IF(tblLines[[#This Row],[Branch]]="","",T(INDEX(tblCodes[unassessable],MATCH(tblLines[[#This Row],[Branch]],tblCodes[code],0))))</f>
        <v/>
      </c>
      <c r="AK3" s="9">
        <f>IF(tblLines[[#This Row],[Branch]]="",0,INDEX(tblCodes[exposed],MATCH(tblLines[[#This Row],[Branch]],tblCodes[code],0)))</f>
        <v>1</v>
      </c>
      <c r="AL3" s="9">
        <f>IF(tblLines[[#This Row],[Branch]]="",0,INDEX(tblCodes[stale],MATCH(tblLines[[#This Row],[Branch]],tblCodes[code],0)))</f>
        <v>0</v>
      </c>
      <c r="AM3" s="10">
        <f>IF(tblLines[[#This Row],[Branch]]="",0,INDEX(tblCodes[otrc],MATCH(tblLines[[#This Row],[Branch]],tblCodes[code],0))*tblLines[[#This Row],[Receipt_credit]])</f>
        <v>0</v>
      </c>
      <c r="AN3" s="10">
        <f>IF((tblLines[[#This Row],[Exposed]]=1),MAX(ROUND(tblLines[[#This Row],[sg_amount]],2)-tblLines[[#This Row],[OTRC]],0),"")</f>
        <v>540</v>
      </c>
      <c r="AO3" s="10">
        <f>IF((tblLines[[#This Row],[Exposed]]=1),IF(AND(tblLines[[#This Row],[Settled]]&lt;&gt;"",tblLines[[#This Row],[Stale_prepay]]=0,tblLines[[#This Row],[Settled]]&gt;tblLines[[#This Row],[Final_due]],OR(Summary!$B$3="",tblLines[[#This Row],[Settled]]&lt;Summary!$B$3)),MIN(tblLines[[#This Row],[Receipt_credit]],tblLines[[#This Row],[Base_shortfall]]),0),"")</f>
        <v>540</v>
      </c>
      <c r="AP3" s="10">
        <f>IF((tblLines[[#This Row],[Exposed]]=1),MAX(tblLines[[#This Row],[Base_shortfall]]-tblLines[[#This Row],[Offset_s18D]],0),"")</f>
        <v>0</v>
      </c>
      <c r="AQ3"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R3" s="11">
        <f>IF((tblLines[[#This Row],[Exposed]]=1),IF(AND(tblLines[[#This Row],[Settled]]&lt;&gt;"",tblLines[[#This Row],[Stale_prepay]]=0,(tblLines[[#This Row],[Receipt_credit]]&gt;=tblLines[[#This Row],[sg_amount]])),tblLines[[#This Row],[Settled]],Summary!$B$2),"")</f>
        <v>46238</v>
      </c>
      <c r="AS3" s="11">
        <f>IF((tblLines[[#This Row],[Exposed]]=1),MIN(IF(Summary!$B$3="",DATE(2030,12,31),Summary!$B$3-1),IF(AND(tblLines[[#This Row],[Settled]]&lt;&gt;"",tblLines[[#This Row],[Stale_prepay]]=0,(tblLines[[#This Row],[Receipt_credit]]&gt;=tblLines[[#This Row],[sg_amount]]),tblLines[[#This Row],[Final_shortfall]]=0),tblLines[[#This Row],[Settled]],Summary!$B$2)),"")</f>
        <v>46238</v>
      </c>
      <c r="AT3" s="9">
        <f>IF((tblLines[[#This Row],[Exposed]]=1),IF(tblLines[[#This Row],[Past_horizon]]=1,"",MAX(tblLines[[#This Row],[Outstanding_to]]-tblLines[[#This Row],[Final_due]],0)),"")</f>
        <v>15</v>
      </c>
      <c r="AU3" s="10">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AV3" s="9">
        <f>IF((tblLines[[#This Row],[Exposed]]=1),IF(tblLines[[#This Row],[NEC_end]]&gt;Summary!$B$7,1,0),"")</f>
        <v>0</v>
      </c>
      <c r="AW3" s="10">
        <f>IF((tblLines[[#This Row],[Exposed]]=1),ROUND(tblLines[[#This Row],[Final_shortfall]],2),"")</f>
        <v>0</v>
      </c>
      <c r="AX3" s="10">
        <f>IF((tblLines[[#This Row],[Exposed]]=1),ROUND(tblLines[[#This Row],[NEC]],2),"")</f>
        <v>2.54</v>
      </c>
      <c r="AY3" s="10">
        <f>IF((tblLines[[#This Row],[Exposed]]=1),0,"")</f>
        <v>0</v>
      </c>
      <c r="AZ3" s="10">
        <f>IF((tblLines[[#This Row],[Exposed]]=1),ROUND(0.6*(tblLines[[#This Row],[Final_shortfall]]+tblLines[[#This Row],[NEC]]),2),"")</f>
        <v>1.53</v>
      </c>
      <c r="BA3" s="10">
        <f>IF((tblLines[[#This Row],[Exposed]]=1),tblLines[[#This Row],[Shortfall_r]]+tblLines[[#This Row],[NEC_r]]+tblLines[[#This Row],[Uplift_best]],"")</f>
        <v>2.54</v>
      </c>
      <c r="BB3" s="10">
        <f>IF((tblLines[[#This Row],[Exposed]]=1),tblLines[[#This Row],[Shortfall_r]]+tblLines[[#This Row],[NEC_r]]+tblLines[[#This Row],[Uplift_worst]],"")</f>
        <v>4.07</v>
      </c>
      <c r="BC3"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3" s="9">
        <f>IF(tblLines[[#This Row],[Settled]]&lt;&gt;"",1,0)</f>
        <v>1</v>
      </c>
      <c r="BE3" s="9">
        <f>IF(AND(tblLines[[#This Row],[Verdict]]&lt;&gt;"",tblLines[[#This Row],[Verdict]]&lt;&gt;"SKIPPED",ISNUMBER(tblLines[[#This Row],[sg_amount]]),tblLines[[#This Row],[sg_amount]]&gt;0),1,0)</f>
        <v>1</v>
      </c>
      <c r="BF3"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3" s="9">
        <f t="array" ref="BG3">IF(COUNTIF(tblLines[employee_id],tblLines[[#This Row],[employee_id]])&gt;SUMPRODUCT(--EXACT(tblLines[employee_id],tblLines[[#This Row],[employee_id]])),1,0)</f>
        <v>0</v>
      </c>
      <c r="BH3" s="9">
        <f>IF(AND(ISNUMBER(MATCH(tblLines[[#This Row],[employee_id]],{"EMP001","EMP002","EMP003","EMP004","EMP005","EMP006","EMP007","EMP001","EMP002","EMP005"},0)),ISNUMBER(MATCH(tblLines[[#This Row],[payment_date]],{46212,46212,46212,46212,46212,46218,46212,46226,46226,46226},0))),1,0)</f>
        <v>1</v>
      </c>
    </row>
    <row r="4" spans="1:60" x14ac:dyDescent="0.25">
      <c r="A4" s="6" t="s">
        <v>72</v>
      </c>
      <c r="B4" s="7">
        <v>46212</v>
      </c>
      <c r="C4" s="8">
        <v>318</v>
      </c>
      <c r="D4" s="7">
        <v>46218</v>
      </c>
      <c r="E4" s="8"/>
      <c r="F4" s="8"/>
      <c r="G4" s="7"/>
      <c r="H4" s="6" t="s">
        <v>70</v>
      </c>
      <c r="I4" s="6" t="s">
        <v>70</v>
      </c>
      <c r="J4" s="7"/>
      <c r="K4" s="6" t="s">
        <v>70</v>
      </c>
      <c r="L4" s="9">
        <f>IF(OR(LOWER(TRIM(tblLines[[#This Row],[defined_benefit]]&amp;""))={"1","t","true","y","yes"}),1,IF(OR(LOWER(TRIM(tblLines[[#This Row],[defined_benefit]]&amp;""))={"","0","f","false","n","no"}),0,""))</f>
        <v>0</v>
      </c>
      <c r="M4" s="9">
        <f>IF(OR(LOWER(TRIM(tblLines[[#This Row],[out_of_cycle]]&amp;""))={"1","t","true","y","yes"}),1,IF(OR(LOWER(TRIM(tblLines[[#This Row],[out_of_cycle]]&amp;""))={"","0","f","false","n","no"}),0,""))</f>
        <v>0</v>
      </c>
      <c r="N4" s="9">
        <f>IF(OR(LOWER(TRIM(tblLines[[#This Row],[first_contribution_to_fund]]&amp;""))={"1","t","true","y","yes"}),1,IF(OR(LOWER(TRIM(tblLines[[#This Row],[first_contribution_to_fund]]&amp;""))={"","0","f","false","n","no"}),0,""))</f>
        <v>0</v>
      </c>
      <c r="O4"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4"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4" s="10">
        <f>IF(ISNUMBER(tblLines[[#This Row],[matched_amount]]),tblLines[[#This Row],[matched_amount]],IF(ISNUMBER(tblLines[[#This Row],[remitted_amount]]),tblLines[[#This Row],[remitted_amount]],tblLines[[#This Row],[sg_amount]]))</f>
        <v>318</v>
      </c>
      <c r="R4" s="11" t="str">
        <f>IF(AND(tblLines[[#This Row],[Flag_ooc]]=1,ISNUMBER(tblLines[[#This Row],[next_standard_payday]])),WORKDAY.INTL(tblLines[[#This Row],[next_standard_payday]],7,1,tblHolidays[date]),"")</f>
        <v/>
      </c>
      <c r="S4" s="11" t="str">
        <f>IF(tblLines[[#This Row],[Flag_ftf]]=1,WORKDAY.INTL(tblLines[[#This Row],[payment_date]],20,1,tblHolidays[date]),"")</f>
        <v/>
      </c>
      <c r="T4" s="11">
        <f>IF(OR(tblLines[[#This Row],[Flag_db]]=1,NOT(ISNUMBER(tblLines[[#This Row],[payment_date]]))),0,IF(OR(tblLines[[#This Row],[Flag_ooc]]=1,tblLines[[#This Row],[Flag_ftf]]=1),MAX(tblLines[[#This Row],[Due_ooc]],tblLines[[#This Row],[Due_ftf]]),WORKDAY.INTL(tblLines[[#This Row],[payment_date]],7,1,tblHolidays[date])))</f>
        <v>46223</v>
      </c>
      <c r="U4" s="9" t="str">
        <f>IF(tblLines[[#This Row],[Flag_db]]=1,"SKIP_DB",IF(tblLines[[#This Row],[Flag_ooc]]=1,IF(AND(tblLines[[#This Row],[Flag_ftf]]=1,tblLines[[#This Row],[Due_ftf]]&gt;tblLines[[#This Row],[Due_ooc]]),"EXTENDED_20BD","OUT_OF_CYCLE"),IF(tblLines[[#This Row],[Flag_ftf]]=1,"EXTENDED_20BD","USUAL_7BD")))</f>
        <v>USUAL_7BD</v>
      </c>
      <c r="V4" s="11">
        <f>IF(ISNUMBER(tblLines[[#This Row],[payment_date]]),EDATE(tblLines[[#This Row],[payment_date]]-1,-12)+1,"")</f>
        <v>45847</v>
      </c>
      <c r="W4" s="11" t="str">
        <f>IF(AND(ISNUMBER(tblLines[[#This Row],[fund_received_date]]),tblLines[[#This Row],[fund_received_date]]&lt;=Summary!$B$2),tblLines[[#This Row],[fund_received_date]],"")</f>
        <v/>
      </c>
      <c r="X4" s="11">
        <f>IF(AND(ISNUMBER(tblLines[[#This Row],[remitted_date]]),tblLines[[#This Row],[remitted_date]]&lt;=Summary!$B$2),tblLines[[#This Row],[remitted_date]],"")</f>
        <v>46218</v>
      </c>
      <c r="Y4" s="10">
        <f>IF(tblLines[[#This Row],[Settled]]&lt;&gt;"",MIN(ROUND(tblLines[[#This Row],[Cap]],2),ROUND(tblLines[[#This Row],[sg_amount]],2)),0)</f>
        <v>0</v>
      </c>
      <c r="Z4" s="10">
        <f>IF(ISNUMBER(tblLines[[#This Row],[remitted_amount]]),IF(tblLines[[#This Row],[Remit]]&lt;&gt;"",MIN(ROUND(tblLines[[#This Row],[remitted_amount]],2),ROUND(tblLines[[#This Row],[sg_amount]],2)),0),IF(tblLines[[#This Row],[Remit]]&lt;&gt;"",ROUND(tblLines[[#This Row],[sg_amount]],2),0))</f>
        <v>318</v>
      </c>
      <c r="AA4"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possible</v>
      </c>
      <c r="AB4" s="11">
        <f t="array" ref="AB4">IF(OR(tblLines[[#This Row],[Flag_db]]=1,tblLines[[#This Row],[Own_due]]=0),"",SUMPRODUCT(MAX(EXACT(tblLines[employee_id],tblLines[[#This Row],[employee_id]])*(tblLines[payment_date]&lt;tblLines[[#This Row],[payment_date]])*(tblLines[Evidence_own]="confirmed")*tblLines[Own_due])))</f>
        <v>0</v>
      </c>
      <c r="AC4" s="11">
        <f t="array" ref="AC4">IF(OR(tblLines[[#This Row],[Flag_db]]=1,tblLines[[#This Row],[Own_due]]=0),"",SUMPRODUCT(MAX(EXACT(tblLines[employee_id],tblLines[[#This Row],[employee_id]])*(tblLines[payment_date]&lt;tblLines[[#This Row],[payment_date]])*(tblLines[Evidence_own]&lt;&gt;"impossible")*tblLines[Own_due])))</f>
        <v>0</v>
      </c>
      <c r="AD4" s="11">
        <f>IF(tblLines[[#This Row],[Own_due]]=0,"",IF(AND(ISNUMBER(tblLines[[#This Row],[Confirmed_latest]]),tblLines[[#This Row],[Confirmed_latest]]&gt;tblLines[[#This Row],[Own_due]]),tblLines[[#This Row],[Confirmed_latest]],tblLines[[#This Row],[Own_due]]))</f>
        <v>46223</v>
      </c>
      <c r="AE4" s="9" t="str">
        <f>IF(tblLines[[#This Row],[Own_due]]=0,tblLines[[#This Row],[Own_pathway]],IF(AND(ISNUMBER(tblLines[[#This Row],[Confirmed_latest]]),tblLines[[#This Row],[Confirmed_latest]]&gt;tblLines[[#This Row],[Own_due]]),"ITEM4_ALIGNED",tblLines[[#This Row],[Own_pathway]]))</f>
        <v>USUAL_7BD</v>
      </c>
      <c r="AF4" s="11" t="str">
        <f>IF(tblLines[[#This Row],[Final_due]]="","",IF(AND(ISNUMBER(tblLines[[#This Row],[Possible_latest]]),tblLines[[#This Row],[Possible_latest]]&gt;tblLines[[#This Row],[Final_due]]),tblLines[[#This Row],[Possible_latest]],""))</f>
        <v/>
      </c>
      <c r="AG4" s="9">
        <f>IF(tblLines[[#This Row],[Final_due]]="","",IF((tblLines[[#This Row],[Final_due]]&gt;Summary!$B$6),1,0))</f>
        <v>0</v>
      </c>
      <c r="AH4"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R3</v>
      </c>
      <c r="AI4" s="9" t="str">
        <f>IF(tblLines[[#This Row],[Branch]]="","",INDEX(tblCodes[verdict],MATCH(tblLines[[#This Row],[Branch]],tblCodes[code],0)))</f>
        <v>AT_RISK</v>
      </c>
      <c r="AJ4" s="9" t="str">
        <f>IF(tblLines[[#This Row],[Branch]]="","",T(INDEX(tblCodes[unassessable],MATCH(tblLines[[#This Row],[Branch]],tblCodes[code],0))))</f>
        <v/>
      </c>
      <c r="AK4" s="9">
        <f>IF(tblLines[[#This Row],[Branch]]="",0,INDEX(tblCodes[exposed],MATCH(tblLines[[#This Row],[Branch]],tblCodes[code],0)))</f>
        <v>0</v>
      </c>
      <c r="AL4" s="9">
        <f>IF(tblLines[[#This Row],[Branch]]="",0,INDEX(tblCodes[stale],MATCH(tblLines[[#This Row],[Branch]],tblCodes[code],0)))</f>
        <v>0</v>
      </c>
      <c r="AM4" s="10">
        <f>IF(tblLines[[#This Row],[Branch]]="",0,INDEX(tblCodes[otrc],MATCH(tblLines[[#This Row],[Branch]],tblCodes[code],0))*tblLines[[#This Row],[Receipt_credit]])</f>
        <v>0</v>
      </c>
      <c r="AN4" s="10" t="str">
        <f>IF((tblLines[[#This Row],[Exposed]]=1),MAX(ROUND(tblLines[[#This Row],[sg_amount]],2)-tblLines[[#This Row],[OTRC]],0),"")</f>
        <v/>
      </c>
      <c r="AO4" s="10" t="str">
        <f>IF((tblLines[[#This Row],[Exposed]]=1),IF(AND(tblLines[[#This Row],[Settled]]&lt;&gt;"",tblLines[[#This Row],[Stale_prepay]]=0,tblLines[[#This Row],[Settled]]&gt;tblLines[[#This Row],[Final_due]],OR(Summary!$B$3="",tblLines[[#This Row],[Settled]]&lt;Summary!$B$3)),MIN(tblLines[[#This Row],[Receipt_credit]],tblLines[[#This Row],[Base_shortfall]]),0),"")</f>
        <v/>
      </c>
      <c r="AP4" s="10" t="str">
        <f>IF((tblLines[[#This Row],[Exposed]]=1),MAX(tblLines[[#This Row],[Base_shortfall]]-tblLines[[#This Row],[Offset_s18D]],0),"")</f>
        <v/>
      </c>
      <c r="AQ4"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4" s="11" t="str">
        <f>IF((tblLines[[#This Row],[Exposed]]=1),IF(AND(tblLines[[#This Row],[Settled]]&lt;&gt;"",tblLines[[#This Row],[Stale_prepay]]=0,(tblLines[[#This Row],[Receipt_credit]]&gt;=tblLines[[#This Row],[sg_amount]])),tblLines[[#This Row],[Settled]],Summary!$B$2),"")</f>
        <v/>
      </c>
      <c r="AS4" s="11" t="str">
        <f>IF((tblLines[[#This Row],[Exposed]]=1),MIN(IF(Summary!$B$3="",DATE(2030,12,31),Summary!$B$3-1),IF(AND(tblLines[[#This Row],[Settled]]&lt;&gt;"",tblLines[[#This Row],[Stale_prepay]]=0,(tblLines[[#This Row],[Receipt_credit]]&gt;=tblLines[[#This Row],[sg_amount]]),tblLines[[#This Row],[Final_shortfall]]=0),tblLines[[#This Row],[Settled]],Summary!$B$2)),"")</f>
        <v/>
      </c>
      <c r="AT4" s="9" t="str">
        <f>IF((tblLines[[#This Row],[Exposed]]=1),IF(tblLines[[#This Row],[Past_horizon]]=1,"",MAX(tblLines[[#This Row],[Outstanding_to]]-tblLines[[#This Row],[Final_due]],0)),"")</f>
        <v/>
      </c>
      <c r="AU4"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4" s="9" t="str">
        <f>IF((tblLines[[#This Row],[Exposed]]=1),IF(tblLines[[#This Row],[NEC_end]]&gt;Summary!$B$7,1,0),"")</f>
        <v/>
      </c>
      <c r="AW4" s="10" t="str">
        <f>IF((tblLines[[#This Row],[Exposed]]=1),ROUND(tblLines[[#This Row],[Final_shortfall]],2),"")</f>
        <v/>
      </c>
      <c r="AX4" s="10" t="str">
        <f>IF((tblLines[[#This Row],[Exposed]]=1),ROUND(tblLines[[#This Row],[NEC]],2),"")</f>
        <v/>
      </c>
      <c r="AY4" s="10" t="str">
        <f>IF((tblLines[[#This Row],[Exposed]]=1),0,"")</f>
        <v/>
      </c>
      <c r="AZ4" s="10" t="str">
        <f>IF((tblLines[[#This Row],[Exposed]]=1),ROUND(0.6*(tblLines[[#This Row],[Final_shortfall]]+tblLines[[#This Row],[NEC]]),2),"")</f>
        <v/>
      </c>
      <c r="BA4" s="10" t="str">
        <f>IF((tblLines[[#This Row],[Exposed]]=1),tblLines[[#This Row],[Shortfall_r]]+tblLines[[#This Row],[NEC_r]]+tblLines[[#This Row],[Uplift_best]],"")</f>
        <v/>
      </c>
      <c r="BB4" s="10" t="str">
        <f>IF((tblLines[[#This Row],[Exposed]]=1),tblLines[[#This Row],[Shortfall_r]]+tblLines[[#This Row],[NEC_r]]+tblLines[[#This Row],[Uplift_worst]],"")</f>
        <v/>
      </c>
      <c r="BC4"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1</v>
      </c>
      <c r="BD4" s="9">
        <f>IF(tblLines[[#This Row],[Settled]]&lt;&gt;"",1,0)</f>
        <v>0</v>
      </c>
      <c r="BE4" s="9">
        <f>IF(AND(tblLines[[#This Row],[Verdict]]&lt;&gt;"",tblLines[[#This Row],[Verdict]]&lt;&gt;"SKIPPED",ISNUMBER(tblLines[[#This Row],[sg_amount]]),tblLines[[#This Row],[sg_amount]]&gt;0),1,0)</f>
        <v>1</v>
      </c>
      <c r="BF4"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4" s="9">
        <f t="array" ref="BG4">IF(COUNTIF(tblLines[employee_id],tblLines[[#This Row],[employee_id]])&gt;SUMPRODUCT(--EXACT(tblLines[employee_id],tblLines[[#This Row],[employee_id]])),1,0)</f>
        <v>0</v>
      </c>
      <c r="BH4" s="9">
        <f>IF(AND(ISNUMBER(MATCH(tblLines[[#This Row],[employee_id]],{"EMP001","EMP002","EMP003","EMP004","EMP005","EMP006","EMP007","EMP001","EMP002","EMP005"},0)),ISNUMBER(MATCH(tblLines[[#This Row],[payment_date]],{46212,46212,46212,46212,46212,46218,46212,46226,46226,46226},0))),1,0)</f>
        <v>1</v>
      </c>
    </row>
    <row r="5" spans="1:60" x14ac:dyDescent="0.25">
      <c r="A5" s="6" t="s">
        <v>73</v>
      </c>
      <c r="B5" s="7">
        <v>46212</v>
      </c>
      <c r="C5" s="8">
        <v>780</v>
      </c>
      <c r="D5" s="7"/>
      <c r="E5" s="8"/>
      <c r="F5" s="8"/>
      <c r="G5" s="7"/>
      <c r="H5" s="6" t="s">
        <v>70</v>
      </c>
      <c r="I5" s="6" t="s">
        <v>70</v>
      </c>
      <c r="J5" s="7"/>
      <c r="K5" s="6" t="s">
        <v>70</v>
      </c>
      <c r="L5" s="9">
        <f>IF(OR(LOWER(TRIM(tblLines[[#This Row],[defined_benefit]]&amp;""))={"1","t","true","y","yes"}),1,IF(OR(LOWER(TRIM(tblLines[[#This Row],[defined_benefit]]&amp;""))={"","0","f","false","n","no"}),0,""))</f>
        <v>0</v>
      </c>
      <c r="M5" s="9">
        <f>IF(OR(LOWER(TRIM(tblLines[[#This Row],[out_of_cycle]]&amp;""))={"1","t","true","y","yes"}),1,IF(OR(LOWER(TRIM(tblLines[[#This Row],[out_of_cycle]]&amp;""))={"","0","f","false","n","no"}),0,""))</f>
        <v>0</v>
      </c>
      <c r="N5" s="9">
        <f>IF(OR(LOWER(TRIM(tblLines[[#This Row],[first_contribution_to_fund]]&amp;""))={"1","t","true","y","yes"}),1,IF(OR(LOWER(TRIM(tblLines[[#This Row],[first_contribution_to_fund]]&amp;""))={"","0","f","false","n","no"}),0,""))</f>
        <v>0</v>
      </c>
      <c r="O5"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5"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5" s="10">
        <f>IF(ISNUMBER(tblLines[[#This Row],[matched_amount]]),tblLines[[#This Row],[matched_amount]],IF(ISNUMBER(tblLines[[#This Row],[remitted_amount]]),tblLines[[#This Row],[remitted_amount]],tblLines[[#This Row],[sg_amount]]))</f>
        <v>780</v>
      </c>
      <c r="R5" s="11" t="str">
        <f>IF(AND(tblLines[[#This Row],[Flag_ooc]]=1,ISNUMBER(tblLines[[#This Row],[next_standard_payday]])),WORKDAY.INTL(tblLines[[#This Row],[next_standard_payday]],7,1,tblHolidays[date]),"")</f>
        <v/>
      </c>
      <c r="S5" s="11" t="str">
        <f>IF(tblLines[[#This Row],[Flag_ftf]]=1,WORKDAY.INTL(tblLines[[#This Row],[payment_date]],20,1,tblHolidays[date]),"")</f>
        <v/>
      </c>
      <c r="T5" s="11">
        <f>IF(OR(tblLines[[#This Row],[Flag_db]]=1,NOT(ISNUMBER(tblLines[[#This Row],[payment_date]]))),0,IF(OR(tblLines[[#This Row],[Flag_ooc]]=1,tblLines[[#This Row],[Flag_ftf]]=1),MAX(tblLines[[#This Row],[Due_ooc]],tblLines[[#This Row],[Due_ftf]]),WORKDAY.INTL(tblLines[[#This Row],[payment_date]],7,1,tblHolidays[date])))</f>
        <v>46223</v>
      </c>
      <c r="U5" s="9" t="str">
        <f>IF(tblLines[[#This Row],[Flag_db]]=1,"SKIP_DB",IF(tblLines[[#This Row],[Flag_ooc]]=1,IF(AND(tblLines[[#This Row],[Flag_ftf]]=1,tblLines[[#This Row],[Due_ftf]]&gt;tblLines[[#This Row],[Due_ooc]]),"EXTENDED_20BD","OUT_OF_CYCLE"),IF(tblLines[[#This Row],[Flag_ftf]]=1,"EXTENDED_20BD","USUAL_7BD")))</f>
        <v>USUAL_7BD</v>
      </c>
      <c r="V5" s="11">
        <f>IF(ISNUMBER(tblLines[[#This Row],[payment_date]]),EDATE(tblLines[[#This Row],[payment_date]]-1,-12)+1,"")</f>
        <v>45847</v>
      </c>
      <c r="W5" s="11" t="str">
        <f>IF(AND(ISNUMBER(tblLines[[#This Row],[fund_received_date]]),tblLines[[#This Row],[fund_received_date]]&lt;=Summary!$B$2),tblLines[[#This Row],[fund_received_date]],"")</f>
        <v/>
      </c>
      <c r="X5" s="11" t="str">
        <f>IF(AND(ISNUMBER(tblLines[[#This Row],[remitted_date]]),tblLines[[#This Row],[remitted_date]]&lt;=Summary!$B$2),tblLines[[#This Row],[remitted_date]],"")</f>
        <v/>
      </c>
      <c r="Y5" s="10">
        <f>IF(tblLines[[#This Row],[Settled]]&lt;&gt;"",MIN(ROUND(tblLines[[#This Row],[Cap]],2),ROUND(tblLines[[#This Row],[sg_amount]],2)),0)</f>
        <v>0</v>
      </c>
      <c r="Z5" s="10">
        <f>IF(ISNUMBER(tblLines[[#This Row],[remitted_amount]]),IF(tblLines[[#This Row],[Remit]]&lt;&gt;"",MIN(ROUND(tblLines[[#This Row],[remitted_amount]],2),ROUND(tblLines[[#This Row],[sg_amount]],2)),0),IF(tblLines[[#This Row],[Remit]]&lt;&gt;"",ROUND(tblLines[[#This Row],[sg_amount]],2),0))</f>
        <v>0</v>
      </c>
      <c r="AA5"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possible</v>
      </c>
      <c r="AB5" s="11">
        <f t="array" ref="AB5">IF(OR(tblLines[[#This Row],[Flag_db]]=1,tblLines[[#This Row],[Own_due]]=0),"",SUMPRODUCT(MAX(EXACT(tblLines[employee_id],tblLines[[#This Row],[employee_id]])*(tblLines[payment_date]&lt;tblLines[[#This Row],[payment_date]])*(tblLines[Evidence_own]="confirmed")*tblLines[Own_due])))</f>
        <v>0</v>
      </c>
      <c r="AC5" s="11">
        <f t="array" ref="AC5">IF(OR(tblLines[[#This Row],[Flag_db]]=1,tblLines[[#This Row],[Own_due]]=0),"",SUMPRODUCT(MAX(EXACT(tblLines[employee_id],tblLines[[#This Row],[employee_id]])*(tblLines[payment_date]&lt;tblLines[[#This Row],[payment_date]])*(tblLines[Evidence_own]&lt;&gt;"impossible")*tblLines[Own_due])))</f>
        <v>0</v>
      </c>
      <c r="AD5" s="11">
        <f>IF(tblLines[[#This Row],[Own_due]]=0,"",IF(AND(ISNUMBER(tblLines[[#This Row],[Confirmed_latest]]),tblLines[[#This Row],[Confirmed_latest]]&gt;tblLines[[#This Row],[Own_due]]),tblLines[[#This Row],[Confirmed_latest]],tblLines[[#This Row],[Own_due]]))</f>
        <v>46223</v>
      </c>
      <c r="AE5" s="9" t="str">
        <f>IF(tblLines[[#This Row],[Own_due]]=0,tblLines[[#This Row],[Own_pathway]],IF(AND(ISNUMBER(tblLines[[#This Row],[Confirmed_latest]]),tblLines[[#This Row],[Confirmed_latest]]&gt;tblLines[[#This Row],[Own_due]]),"ITEM4_ALIGNED",tblLines[[#This Row],[Own_pathway]]))</f>
        <v>USUAL_7BD</v>
      </c>
      <c r="AF5" s="11" t="str">
        <f>IF(tblLines[[#This Row],[Final_due]]="","",IF(AND(ISNUMBER(tblLines[[#This Row],[Possible_latest]]),tblLines[[#This Row],[Possible_latest]]&gt;tblLines[[#This Row],[Final_due]]),tblLines[[#This Row],[Possible_latest]],""))</f>
        <v/>
      </c>
      <c r="AG5" s="9">
        <f>IF(tblLines[[#This Row],[Final_due]]="","",IF((tblLines[[#This Row],[Final_due]]&gt;Summary!$B$6),1,0))</f>
        <v>0</v>
      </c>
      <c r="AH5"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N2</v>
      </c>
      <c r="AI5" s="9" t="str">
        <f>IF(tblLines[[#This Row],[Branch]]="","",INDEX(tblCodes[verdict],MATCH(tblLines[[#This Row],[Branch]],tblCodes[code],0)))</f>
        <v>UNPAID</v>
      </c>
      <c r="AJ5" s="9" t="str">
        <f>IF(tblLines[[#This Row],[Branch]]="","",T(INDEX(tblCodes[unassessable],MATCH(tblLines[[#This Row],[Branch]],tblCodes[code],0))))</f>
        <v/>
      </c>
      <c r="AK5" s="9">
        <f>IF(tblLines[[#This Row],[Branch]]="",0,INDEX(tblCodes[exposed],MATCH(tblLines[[#This Row],[Branch]],tblCodes[code],0)))</f>
        <v>1</v>
      </c>
      <c r="AL5" s="9">
        <f>IF(tblLines[[#This Row],[Branch]]="",0,INDEX(tblCodes[stale],MATCH(tblLines[[#This Row],[Branch]],tblCodes[code],0)))</f>
        <v>0</v>
      </c>
      <c r="AM5" s="10">
        <f>IF(tblLines[[#This Row],[Branch]]="",0,INDEX(tblCodes[otrc],MATCH(tblLines[[#This Row],[Branch]],tblCodes[code],0))*tblLines[[#This Row],[Receipt_credit]])</f>
        <v>0</v>
      </c>
      <c r="AN5" s="10">
        <f>IF((tblLines[[#This Row],[Exposed]]=1),MAX(ROUND(tblLines[[#This Row],[sg_amount]],2)-tblLines[[#This Row],[OTRC]],0),"")</f>
        <v>780</v>
      </c>
      <c r="AO5" s="10">
        <f>IF((tblLines[[#This Row],[Exposed]]=1),IF(AND(tblLines[[#This Row],[Settled]]&lt;&gt;"",tblLines[[#This Row],[Stale_prepay]]=0,tblLines[[#This Row],[Settled]]&gt;tblLines[[#This Row],[Final_due]],OR(Summary!$B$3="",tblLines[[#This Row],[Settled]]&lt;Summary!$B$3)),MIN(tblLines[[#This Row],[Receipt_credit]],tblLines[[#This Row],[Base_shortfall]]),0),"")</f>
        <v>0</v>
      </c>
      <c r="AP5" s="10">
        <f>IF((tblLines[[#This Row],[Exposed]]=1),MAX(tblLines[[#This Row],[Base_shortfall]]-tblLines[[#This Row],[Offset_s18D]],0),"")</f>
        <v>780</v>
      </c>
      <c r="AQ5"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R5" s="11">
        <f>IF((tblLines[[#This Row],[Exposed]]=1),IF(AND(tblLines[[#This Row],[Settled]]&lt;&gt;"",tblLines[[#This Row],[Stale_prepay]]=0,(tblLines[[#This Row],[Receipt_credit]]&gt;=tblLines[[#This Row],[sg_amount]])),tblLines[[#This Row],[Settled]],Summary!$B$2),"")</f>
        <v>46244</v>
      </c>
      <c r="AS5" s="11">
        <f>IF((tblLines[[#This Row],[Exposed]]=1),MIN(IF(Summary!$B$3="",DATE(2030,12,31),Summary!$B$3-1),IF(AND(tblLines[[#This Row],[Settled]]&lt;&gt;"",tblLines[[#This Row],[Stale_prepay]]=0,(tblLines[[#This Row],[Receipt_credit]]&gt;=tblLines[[#This Row],[sg_amount]]),tblLines[[#This Row],[Final_shortfall]]=0),tblLines[[#This Row],[Settled]],Summary!$B$2)),"")</f>
        <v>46244</v>
      </c>
      <c r="AT5" s="9">
        <f>IF((tblLines[[#This Row],[Exposed]]=1),IF(tblLines[[#This Row],[Past_horizon]]=1,"",MAX(tblLines[[#This Row],[Outstanding_to]]-tblLines[[#This Row],[Final_due]],0)),"")</f>
        <v>21</v>
      </c>
      <c r="AU5" s="10">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AV5" s="9">
        <f>IF((tblLines[[#This Row],[Exposed]]=1),IF(tblLines[[#This Row],[NEC_end]]&gt;Summary!$B$7,1,0),"")</f>
        <v>0</v>
      </c>
      <c r="AW5" s="10">
        <f>IF((tblLines[[#This Row],[Exposed]]=1),ROUND(tblLines[[#This Row],[Final_shortfall]],2),"")</f>
        <v>780</v>
      </c>
      <c r="AX5" s="10">
        <f>IF((tblLines[[#This Row],[Exposed]]=1),ROUND(tblLines[[#This Row],[NEC]],2),"")</f>
        <v>5.15</v>
      </c>
      <c r="AY5" s="10">
        <f>IF((tblLines[[#This Row],[Exposed]]=1),0,"")</f>
        <v>0</v>
      </c>
      <c r="AZ5" s="10">
        <f>IF((tblLines[[#This Row],[Exposed]]=1),ROUND(0.6*(tblLines[[#This Row],[Final_shortfall]]+tblLines[[#This Row],[NEC]]),2),"")</f>
        <v>471.09</v>
      </c>
      <c r="BA5" s="10">
        <f>IF((tblLines[[#This Row],[Exposed]]=1),tblLines[[#This Row],[Shortfall_r]]+tblLines[[#This Row],[NEC_r]]+tblLines[[#This Row],[Uplift_best]],"")</f>
        <v>785.15</v>
      </c>
      <c r="BB5" s="10">
        <f>IF((tblLines[[#This Row],[Exposed]]=1),tblLines[[#This Row],[Shortfall_r]]+tblLines[[#This Row],[NEC_r]]+tblLines[[#This Row],[Uplift_worst]],"")</f>
        <v>1256.24</v>
      </c>
      <c r="BC5"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5" s="9">
        <f>IF(tblLines[[#This Row],[Settled]]&lt;&gt;"",1,0)</f>
        <v>0</v>
      </c>
      <c r="BE5" s="9">
        <f>IF(AND(tblLines[[#This Row],[Verdict]]&lt;&gt;"",tblLines[[#This Row],[Verdict]]&lt;&gt;"SKIPPED",ISNUMBER(tblLines[[#This Row],[sg_amount]]),tblLines[[#This Row],[sg_amount]]&gt;0),1,0)</f>
        <v>1</v>
      </c>
      <c r="BF5"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5" s="9">
        <f t="array" ref="BG5">IF(COUNTIF(tblLines[employee_id],tblLines[[#This Row],[employee_id]])&gt;SUMPRODUCT(--EXACT(tblLines[employee_id],tblLines[[#This Row],[employee_id]])),1,0)</f>
        <v>0</v>
      </c>
      <c r="BH5" s="9">
        <f>IF(AND(ISNUMBER(MATCH(tblLines[[#This Row],[employee_id]],{"EMP001","EMP002","EMP003","EMP004","EMP005","EMP006","EMP007","EMP001","EMP002","EMP005"},0)),ISNUMBER(MATCH(tblLines[[#This Row],[payment_date]],{46212,46212,46212,46212,46212,46218,46212,46226,46226,46226},0))),1,0)</f>
        <v>1</v>
      </c>
    </row>
    <row r="6" spans="1:60" x14ac:dyDescent="0.25">
      <c r="A6" s="6" t="s">
        <v>74</v>
      </c>
      <c r="B6" s="7">
        <v>46212</v>
      </c>
      <c r="C6" s="8">
        <v>450</v>
      </c>
      <c r="D6" s="7">
        <v>46237</v>
      </c>
      <c r="E6" s="8"/>
      <c r="F6" s="8"/>
      <c r="G6" s="7">
        <v>46239</v>
      </c>
      <c r="H6" s="6" t="s">
        <v>75</v>
      </c>
      <c r="I6" s="6" t="s">
        <v>70</v>
      </c>
      <c r="J6" s="7"/>
      <c r="K6" s="6" t="s">
        <v>70</v>
      </c>
      <c r="L6" s="9">
        <f>IF(OR(LOWER(TRIM(tblLines[[#This Row],[defined_benefit]]&amp;""))={"1","t","true","y","yes"}),1,IF(OR(LOWER(TRIM(tblLines[[#This Row],[defined_benefit]]&amp;""))={"","0","f","false","n","no"}),0,""))</f>
        <v>0</v>
      </c>
      <c r="M6" s="9">
        <f>IF(OR(LOWER(TRIM(tblLines[[#This Row],[out_of_cycle]]&amp;""))={"1","t","true","y","yes"}),1,IF(OR(LOWER(TRIM(tblLines[[#This Row],[out_of_cycle]]&amp;""))={"","0","f","false","n","no"}),0,""))</f>
        <v>0</v>
      </c>
      <c r="N6" s="9">
        <f>IF(OR(LOWER(TRIM(tblLines[[#This Row],[first_contribution_to_fund]]&amp;""))={"1","t","true","y","yes"}),1,IF(OR(LOWER(TRIM(tblLines[[#This Row],[first_contribution_to_fund]]&amp;""))={"","0","f","false","n","no"}),0,""))</f>
        <v>1</v>
      </c>
      <c r="O6"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6"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6" s="10">
        <f>IF(ISNUMBER(tblLines[[#This Row],[matched_amount]]),tblLines[[#This Row],[matched_amount]],IF(ISNUMBER(tblLines[[#This Row],[remitted_amount]]),tblLines[[#This Row],[remitted_amount]],tblLines[[#This Row],[sg_amount]]))</f>
        <v>450</v>
      </c>
      <c r="R6" s="11" t="str">
        <f>IF(AND(tblLines[[#This Row],[Flag_ooc]]=1,ISNUMBER(tblLines[[#This Row],[next_standard_payday]])),WORKDAY.INTL(tblLines[[#This Row],[next_standard_payday]],7,1,tblHolidays[date]),"")</f>
        <v/>
      </c>
      <c r="S6" s="11">
        <f>IF(tblLines[[#This Row],[Flag_ftf]]=1,WORKDAY.INTL(tblLines[[#This Row],[payment_date]],20,1,tblHolidays[date]),"")</f>
        <v>46241</v>
      </c>
      <c r="T6" s="11">
        <f>IF(OR(tblLines[[#This Row],[Flag_db]]=1,NOT(ISNUMBER(tblLines[[#This Row],[payment_date]]))),0,IF(OR(tblLines[[#This Row],[Flag_ooc]]=1,tblLines[[#This Row],[Flag_ftf]]=1),MAX(tblLines[[#This Row],[Due_ooc]],tblLines[[#This Row],[Due_ftf]]),WORKDAY.INTL(tblLines[[#This Row],[payment_date]],7,1,tblHolidays[date])))</f>
        <v>46241</v>
      </c>
      <c r="U6" s="9" t="str">
        <f>IF(tblLines[[#This Row],[Flag_db]]=1,"SKIP_DB",IF(tblLines[[#This Row],[Flag_ooc]]=1,IF(AND(tblLines[[#This Row],[Flag_ftf]]=1,tblLines[[#This Row],[Due_ftf]]&gt;tblLines[[#This Row],[Due_ooc]]),"EXTENDED_20BD","OUT_OF_CYCLE"),IF(tblLines[[#This Row],[Flag_ftf]]=1,"EXTENDED_20BD","USUAL_7BD")))</f>
        <v>EXTENDED_20BD</v>
      </c>
      <c r="V6" s="11">
        <f>IF(ISNUMBER(tblLines[[#This Row],[payment_date]]),EDATE(tblLines[[#This Row],[payment_date]]-1,-12)+1,"")</f>
        <v>45847</v>
      </c>
      <c r="W6" s="11">
        <f>IF(AND(ISNUMBER(tblLines[[#This Row],[fund_received_date]]),tblLines[[#This Row],[fund_received_date]]&lt;=Summary!$B$2),tblLines[[#This Row],[fund_received_date]],"")</f>
        <v>46239</v>
      </c>
      <c r="X6" s="11">
        <f>IF(AND(ISNUMBER(tblLines[[#This Row],[remitted_date]]),tblLines[[#This Row],[remitted_date]]&lt;=Summary!$B$2),tblLines[[#This Row],[remitted_date]],"")</f>
        <v>46237</v>
      </c>
      <c r="Y6" s="10">
        <f>IF(tblLines[[#This Row],[Settled]]&lt;&gt;"",MIN(ROUND(tblLines[[#This Row],[Cap]],2),ROUND(tblLines[[#This Row],[sg_amount]],2)),0)</f>
        <v>450</v>
      </c>
      <c r="Z6" s="10">
        <f>IF(ISNUMBER(tblLines[[#This Row],[remitted_amount]]),IF(tblLines[[#This Row],[Remit]]&lt;&gt;"",MIN(ROUND(tblLines[[#This Row],[remitted_amount]],2),ROUND(tblLines[[#This Row],[sg_amount]],2)),0),IF(tblLines[[#This Row],[Remit]]&lt;&gt;"",ROUND(tblLines[[#This Row],[sg_amount]],2),0))</f>
        <v>450</v>
      </c>
      <c r="AA6"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6" s="11">
        <f t="array" ref="AB6">IF(OR(tblLines[[#This Row],[Flag_db]]=1,tblLines[[#This Row],[Own_due]]=0),"",SUMPRODUCT(MAX(EXACT(tblLines[employee_id],tblLines[[#This Row],[employee_id]])*(tblLines[payment_date]&lt;tblLines[[#This Row],[payment_date]])*(tblLines[Evidence_own]="confirmed")*tblLines[Own_due])))</f>
        <v>0</v>
      </c>
      <c r="AC6" s="11">
        <f t="array" ref="AC6">IF(OR(tblLines[[#This Row],[Flag_db]]=1,tblLines[[#This Row],[Own_due]]=0),"",SUMPRODUCT(MAX(EXACT(tblLines[employee_id],tblLines[[#This Row],[employee_id]])*(tblLines[payment_date]&lt;tblLines[[#This Row],[payment_date]])*(tblLines[Evidence_own]&lt;&gt;"impossible")*tblLines[Own_due])))</f>
        <v>0</v>
      </c>
      <c r="AD6" s="11">
        <f>IF(tblLines[[#This Row],[Own_due]]=0,"",IF(AND(ISNUMBER(tblLines[[#This Row],[Confirmed_latest]]),tblLines[[#This Row],[Confirmed_latest]]&gt;tblLines[[#This Row],[Own_due]]),tblLines[[#This Row],[Confirmed_latest]],tblLines[[#This Row],[Own_due]]))</f>
        <v>46241</v>
      </c>
      <c r="AE6" s="9" t="str">
        <f>IF(tblLines[[#This Row],[Own_due]]=0,tblLines[[#This Row],[Own_pathway]],IF(AND(ISNUMBER(tblLines[[#This Row],[Confirmed_latest]]),tblLines[[#This Row],[Confirmed_latest]]&gt;tblLines[[#This Row],[Own_due]]),"ITEM4_ALIGNED",tblLines[[#This Row],[Own_pathway]]))</f>
        <v>EXTENDED_20BD</v>
      </c>
      <c r="AF6" s="11" t="str">
        <f>IF(tblLines[[#This Row],[Final_due]]="","",IF(AND(ISNUMBER(tblLines[[#This Row],[Possible_latest]]),tblLines[[#This Row],[Possible_latest]]&gt;tblLines[[#This Row],[Final_due]]),tblLines[[#This Row],[Possible_latest]],""))</f>
        <v/>
      </c>
      <c r="AG6" s="9">
        <f>IF(tblLines[[#This Row],[Final_due]]="","",IF((tblLines[[#This Row],[Final_due]]&gt;Summary!$B$6),1,0))</f>
        <v>0</v>
      </c>
      <c r="AH6"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6" s="9" t="str">
        <f>IF(tblLines[[#This Row],[Branch]]="","",INDEX(tblCodes[verdict],MATCH(tblLines[[#This Row],[Branch]],tblCodes[code],0)))</f>
        <v>ON_TIME</v>
      </c>
      <c r="AJ6" s="9" t="str">
        <f>IF(tblLines[[#This Row],[Branch]]="","",T(INDEX(tblCodes[unassessable],MATCH(tblLines[[#This Row],[Branch]],tblCodes[code],0))))</f>
        <v/>
      </c>
      <c r="AK6" s="9">
        <f>IF(tblLines[[#This Row],[Branch]]="",0,INDEX(tblCodes[exposed],MATCH(tblLines[[#This Row],[Branch]],tblCodes[code],0)))</f>
        <v>0</v>
      </c>
      <c r="AL6" s="9">
        <f>IF(tblLines[[#This Row],[Branch]]="",0,INDEX(tblCodes[stale],MATCH(tblLines[[#This Row],[Branch]],tblCodes[code],0)))</f>
        <v>0</v>
      </c>
      <c r="AM6" s="10">
        <f>IF(tblLines[[#This Row],[Branch]]="",0,INDEX(tblCodes[otrc],MATCH(tblLines[[#This Row],[Branch]],tblCodes[code],0))*tblLines[[#This Row],[Receipt_credit]])</f>
        <v>450</v>
      </c>
      <c r="AN6" s="10" t="str">
        <f>IF((tblLines[[#This Row],[Exposed]]=1),MAX(ROUND(tblLines[[#This Row],[sg_amount]],2)-tblLines[[#This Row],[OTRC]],0),"")</f>
        <v/>
      </c>
      <c r="AO6" s="10" t="str">
        <f>IF((tblLines[[#This Row],[Exposed]]=1),IF(AND(tblLines[[#This Row],[Settled]]&lt;&gt;"",tblLines[[#This Row],[Stale_prepay]]=0,tblLines[[#This Row],[Settled]]&gt;tblLines[[#This Row],[Final_due]],OR(Summary!$B$3="",tblLines[[#This Row],[Settled]]&lt;Summary!$B$3)),MIN(tblLines[[#This Row],[Receipt_credit]],tblLines[[#This Row],[Base_shortfall]]),0),"")</f>
        <v/>
      </c>
      <c r="AP6" s="10" t="str">
        <f>IF((tblLines[[#This Row],[Exposed]]=1),MAX(tblLines[[#This Row],[Base_shortfall]]-tblLines[[#This Row],[Offset_s18D]],0),"")</f>
        <v/>
      </c>
      <c r="AQ6"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6" s="11" t="str">
        <f>IF((tblLines[[#This Row],[Exposed]]=1),IF(AND(tblLines[[#This Row],[Settled]]&lt;&gt;"",tblLines[[#This Row],[Stale_prepay]]=0,(tblLines[[#This Row],[Receipt_credit]]&gt;=tblLines[[#This Row],[sg_amount]])),tblLines[[#This Row],[Settled]],Summary!$B$2),"")</f>
        <v/>
      </c>
      <c r="AS6" s="11" t="str">
        <f>IF((tblLines[[#This Row],[Exposed]]=1),MIN(IF(Summary!$B$3="",DATE(2030,12,31),Summary!$B$3-1),IF(AND(tblLines[[#This Row],[Settled]]&lt;&gt;"",tblLines[[#This Row],[Stale_prepay]]=0,(tblLines[[#This Row],[Receipt_credit]]&gt;=tblLines[[#This Row],[sg_amount]]),tblLines[[#This Row],[Final_shortfall]]=0),tblLines[[#This Row],[Settled]],Summary!$B$2)),"")</f>
        <v/>
      </c>
      <c r="AT6" s="9" t="str">
        <f>IF((tblLines[[#This Row],[Exposed]]=1),IF(tblLines[[#This Row],[Past_horizon]]=1,"",MAX(tblLines[[#This Row],[Outstanding_to]]-tblLines[[#This Row],[Final_due]],0)),"")</f>
        <v/>
      </c>
      <c r="AU6"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6" s="9" t="str">
        <f>IF((tblLines[[#This Row],[Exposed]]=1),IF(tblLines[[#This Row],[NEC_end]]&gt;Summary!$B$7,1,0),"")</f>
        <v/>
      </c>
      <c r="AW6" s="10" t="str">
        <f>IF((tblLines[[#This Row],[Exposed]]=1),ROUND(tblLines[[#This Row],[Final_shortfall]],2),"")</f>
        <v/>
      </c>
      <c r="AX6" s="10" t="str">
        <f>IF((tblLines[[#This Row],[Exposed]]=1),ROUND(tblLines[[#This Row],[NEC]],2),"")</f>
        <v/>
      </c>
      <c r="AY6" s="10" t="str">
        <f>IF((tblLines[[#This Row],[Exposed]]=1),0,"")</f>
        <v/>
      </c>
      <c r="AZ6" s="10" t="str">
        <f>IF((tblLines[[#This Row],[Exposed]]=1),ROUND(0.6*(tblLines[[#This Row],[Final_shortfall]]+tblLines[[#This Row],[NEC]]),2),"")</f>
        <v/>
      </c>
      <c r="BA6" s="10" t="str">
        <f>IF((tblLines[[#This Row],[Exposed]]=1),tblLines[[#This Row],[Shortfall_r]]+tblLines[[#This Row],[NEC_r]]+tblLines[[#This Row],[Uplift_best]],"")</f>
        <v/>
      </c>
      <c r="BB6" s="10" t="str">
        <f>IF((tblLines[[#This Row],[Exposed]]=1),tblLines[[#This Row],[Shortfall_r]]+tblLines[[#This Row],[NEC_r]]+tblLines[[#This Row],[Uplift_worst]],"")</f>
        <v/>
      </c>
      <c r="BC6"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6" s="9">
        <f>IF(tblLines[[#This Row],[Settled]]&lt;&gt;"",1,0)</f>
        <v>1</v>
      </c>
      <c r="BE6" s="9">
        <f>IF(AND(tblLines[[#This Row],[Verdict]]&lt;&gt;"",tblLines[[#This Row],[Verdict]]&lt;&gt;"SKIPPED",ISNUMBER(tblLines[[#This Row],[sg_amount]]),tblLines[[#This Row],[sg_amount]]&gt;0),1,0)</f>
        <v>1</v>
      </c>
      <c r="BF6"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6" s="9">
        <f t="array" ref="BG6">IF(COUNTIF(tblLines[employee_id],tblLines[[#This Row],[employee_id]])&gt;SUMPRODUCT(--EXACT(tblLines[employee_id],tblLines[[#This Row],[employee_id]])),1,0)</f>
        <v>0</v>
      </c>
      <c r="BH6" s="9">
        <f>IF(AND(ISNUMBER(MATCH(tblLines[[#This Row],[employee_id]],{"EMP001","EMP002","EMP003","EMP004","EMP005","EMP006","EMP007","EMP001","EMP002","EMP005"},0)),ISNUMBER(MATCH(tblLines[[#This Row],[payment_date]],{46212,46212,46212,46212,46212,46218,46212,46226,46226,46226},0))),1,0)</f>
        <v>1</v>
      </c>
    </row>
    <row r="7" spans="1:60" x14ac:dyDescent="0.25">
      <c r="A7" s="6" t="s">
        <v>76</v>
      </c>
      <c r="B7" s="7">
        <v>46218</v>
      </c>
      <c r="C7" s="8">
        <v>120</v>
      </c>
      <c r="D7" s="7">
        <v>46233</v>
      </c>
      <c r="E7" s="8"/>
      <c r="F7" s="8"/>
      <c r="G7" s="7">
        <v>46234</v>
      </c>
      <c r="H7" s="6" t="s">
        <v>70</v>
      </c>
      <c r="I7" s="6" t="s">
        <v>75</v>
      </c>
      <c r="J7" s="7">
        <v>46226</v>
      </c>
      <c r="K7" s="6" t="s">
        <v>70</v>
      </c>
      <c r="L7" s="9">
        <f>IF(OR(LOWER(TRIM(tblLines[[#This Row],[defined_benefit]]&amp;""))={"1","t","true","y","yes"}),1,IF(OR(LOWER(TRIM(tblLines[[#This Row],[defined_benefit]]&amp;""))={"","0","f","false","n","no"}),0,""))</f>
        <v>0</v>
      </c>
      <c r="M7" s="9">
        <f>IF(OR(LOWER(TRIM(tblLines[[#This Row],[out_of_cycle]]&amp;""))={"1","t","true","y","yes"}),1,IF(OR(LOWER(TRIM(tblLines[[#This Row],[out_of_cycle]]&amp;""))={"","0","f","false","n","no"}),0,""))</f>
        <v>1</v>
      </c>
      <c r="N7" s="9">
        <f>IF(OR(LOWER(TRIM(tblLines[[#This Row],[first_contribution_to_fund]]&amp;""))={"1","t","true","y","yes"}),1,IF(OR(LOWER(TRIM(tblLines[[#This Row],[first_contribution_to_fund]]&amp;""))={"","0","f","false","n","no"}),0,""))</f>
        <v>0</v>
      </c>
      <c r="O7"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7"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7" s="10">
        <f>IF(ISNUMBER(tblLines[[#This Row],[matched_amount]]),tblLines[[#This Row],[matched_amount]],IF(ISNUMBER(tblLines[[#This Row],[remitted_amount]]),tblLines[[#This Row],[remitted_amount]],tblLines[[#This Row],[sg_amount]]))</f>
        <v>120</v>
      </c>
      <c r="R7" s="11">
        <f>IF(AND(tblLines[[#This Row],[Flag_ooc]]=1,ISNUMBER(tblLines[[#This Row],[next_standard_payday]])),WORKDAY.INTL(tblLines[[#This Row],[next_standard_payday]],7,1,tblHolidays[date]),"")</f>
        <v>46238</v>
      </c>
      <c r="S7" s="11" t="str">
        <f>IF(tblLines[[#This Row],[Flag_ftf]]=1,WORKDAY.INTL(tblLines[[#This Row],[payment_date]],20,1,tblHolidays[date]),"")</f>
        <v/>
      </c>
      <c r="T7" s="11">
        <f>IF(OR(tblLines[[#This Row],[Flag_db]]=1,NOT(ISNUMBER(tblLines[[#This Row],[payment_date]]))),0,IF(OR(tblLines[[#This Row],[Flag_ooc]]=1,tblLines[[#This Row],[Flag_ftf]]=1),MAX(tblLines[[#This Row],[Due_ooc]],tblLines[[#This Row],[Due_ftf]]),WORKDAY.INTL(tblLines[[#This Row],[payment_date]],7,1,tblHolidays[date])))</f>
        <v>46238</v>
      </c>
      <c r="U7" s="9" t="str">
        <f>IF(tblLines[[#This Row],[Flag_db]]=1,"SKIP_DB",IF(tblLines[[#This Row],[Flag_ooc]]=1,IF(AND(tblLines[[#This Row],[Flag_ftf]]=1,tblLines[[#This Row],[Due_ftf]]&gt;tblLines[[#This Row],[Due_ooc]]),"EXTENDED_20BD","OUT_OF_CYCLE"),IF(tblLines[[#This Row],[Flag_ftf]]=1,"EXTENDED_20BD","USUAL_7BD")))</f>
        <v>OUT_OF_CYCLE</v>
      </c>
      <c r="V7" s="11">
        <f>IF(ISNUMBER(tblLines[[#This Row],[payment_date]]),EDATE(tblLines[[#This Row],[payment_date]]-1,-12)+1,"")</f>
        <v>45853</v>
      </c>
      <c r="W7" s="11">
        <f>IF(AND(ISNUMBER(tblLines[[#This Row],[fund_received_date]]),tblLines[[#This Row],[fund_received_date]]&lt;=Summary!$B$2),tblLines[[#This Row],[fund_received_date]],"")</f>
        <v>46234</v>
      </c>
      <c r="X7" s="11">
        <f>IF(AND(ISNUMBER(tblLines[[#This Row],[remitted_date]]),tblLines[[#This Row],[remitted_date]]&lt;=Summary!$B$2),tblLines[[#This Row],[remitted_date]],"")</f>
        <v>46233</v>
      </c>
      <c r="Y7" s="10">
        <f>IF(tblLines[[#This Row],[Settled]]&lt;&gt;"",MIN(ROUND(tblLines[[#This Row],[Cap]],2),ROUND(tblLines[[#This Row],[sg_amount]],2)),0)</f>
        <v>120</v>
      </c>
      <c r="Z7" s="10">
        <f>IF(ISNUMBER(tblLines[[#This Row],[remitted_amount]]),IF(tblLines[[#This Row],[Remit]]&lt;&gt;"",MIN(ROUND(tblLines[[#This Row],[remitted_amount]],2),ROUND(tblLines[[#This Row],[sg_amount]],2)),0),IF(tblLines[[#This Row],[Remit]]&lt;&gt;"",ROUND(tblLines[[#This Row],[sg_amount]],2),0))</f>
        <v>120</v>
      </c>
      <c r="AA7"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7" s="11">
        <f t="array" ref="AB7">IF(OR(tblLines[[#This Row],[Flag_db]]=1,tblLines[[#This Row],[Own_due]]=0),"",SUMPRODUCT(MAX(EXACT(tblLines[employee_id],tblLines[[#This Row],[employee_id]])*(tblLines[payment_date]&lt;tblLines[[#This Row],[payment_date]])*(tblLines[Evidence_own]="confirmed")*tblLines[Own_due])))</f>
        <v>0</v>
      </c>
      <c r="AC7" s="11">
        <f t="array" ref="AC7">IF(OR(tblLines[[#This Row],[Flag_db]]=1,tblLines[[#This Row],[Own_due]]=0),"",SUMPRODUCT(MAX(EXACT(tblLines[employee_id],tblLines[[#This Row],[employee_id]])*(tblLines[payment_date]&lt;tblLines[[#This Row],[payment_date]])*(tblLines[Evidence_own]&lt;&gt;"impossible")*tblLines[Own_due])))</f>
        <v>0</v>
      </c>
      <c r="AD7" s="11">
        <f>IF(tblLines[[#This Row],[Own_due]]=0,"",IF(AND(ISNUMBER(tblLines[[#This Row],[Confirmed_latest]]),tblLines[[#This Row],[Confirmed_latest]]&gt;tblLines[[#This Row],[Own_due]]),tblLines[[#This Row],[Confirmed_latest]],tblLines[[#This Row],[Own_due]]))</f>
        <v>46238</v>
      </c>
      <c r="AE7" s="9" t="str">
        <f>IF(tblLines[[#This Row],[Own_due]]=0,tblLines[[#This Row],[Own_pathway]],IF(AND(ISNUMBER(tblLines[[#This Row],[Confirmed_latest]]),tblLines[[#This Row],[Confirmed_latest]]&gt;tblLines[[#This Row],[Own_due]]),"ITEM4_ALIGNED",tblLines[[#This Row],[Own_pathway]]))</f>
        <v>OUT_OF_CYCLE</v>
      </c>
      <c r="AF7" s="11" t="str">
        <f>IF(tblLines[[#This Row],[Final_due]]="","",IF(AND(ISNUMBER(tblLines[[#This Row],[Possible_latest]]),tblLines[[#This Row],[Possible_latest]]&gt;tblLines[[#This Row],[Final_due]]),tblLines[[#This Row],[Possible_latest]],""))</f>
        <v/>
      </c>
      <c r="AG7" s="9">
        <f>IF(tblLines[[#This Row],[Final_due]]="","",IF((tblLines[[#This Row],[Final_due]]&gt;Summary!$B$6),1,0))</f>
        <v>0</v>
      </c>
      <c r="AH7"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7" s="9" t="str">
        <f>IF(tblLines[[#This Row],[Branch]]="","",INDEX(tblCodes[verdict],MATCH(tblLines[[#This Row],[Branch]],tblCodes[code],0)))</f>
        <v>ON_TIME</v>
      </c>
      <c r="AJ7" s="9" t="str">
        <f>IF(tblLines[[#This Row],[Branch]]="","",T(INDEX(tblCodes[unassessable],MATCH(tblLines[[#This Row],[Branch]],tblCodes[code],0))))</f>
        <v/>
      </c>
      <c r="AK7" s="9">
        <f>IF(tblLines[[#This Row],[Branch]]="",0,INDEX(tblCodes[exposed],MATCH(tblLines[[#This Row],[Branch]],tblCodes[code],0)))</f>
        <v>0</v>
      </c>
      <c r="AL7" s="9">
        <f>IF(tblLines[[#This Row],[Branch]]="",0,INDEX(tblCodes[stale],MATCH(tblLines[[#This Row],[Branch]],tblCodes[code],0)))</f>
        <v>0</v>
      </c>
      <c r="AM7" s="10">
        <f>IF(tblLines[[#This Row],[Branch]]="",0,INDEX(tblCodes[otrc],MATCH(tblLines[[#This Row],[Branch]],tblCodes[code],0))*tblLines[[#This Row],[Receipt_credit]])</f>
        <v>120</v>
      </c>
      <c r="AN7" s="10" t="str">
        <f>IF((tblLines[[#This Row],[Exposed]]=1),MAX(ROUND(tblLines[[#This Row],[sg_amount]],2)-tblLines[[#This Row],[OTRC]],0),"")</f>
        <v/>
      </c>
      <c r="AO7" s="10" t="str">
        <f>IF((tblLines[[#This Row],[Exposed]]=1),IF(AND(tblLines[[#This Row],[Settled]]&lt;&gt;"",tblLines[[#This Row],[Stale_prepay]]=0,tblLines[[#This Row],[Settled]]&gt;tblLines[[#This Row],[Final_due]],OR(Summary!$B$3="",tblLines[[#This Row],[Settled]]&lt;Summary!$B$3)),MIN(tblLines[[#This Row],[Receipt_credit]],tblLines[[#This Row],[Base_shortfall]]),0),"")</f>
        <v/>
      </c>
      <c r="AP7" s="10" t="str">
        <f>IF((tblLines[[#This Row],[Exposed]]=1),MAX(tblLines[[#This Row],[Base_shortfall]]-tblLines[[#This Row],[Offset_s18D]],0),"")</f>
        <v/>
      </c>
      <c r="AQ7"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7" s="11" t="str">
        <f>IF((tblLines[[#This Row],[Exposed]]=1),IF(AND(tblLines[[#This Row],[Settled]]&lt;&gt;"",tblLines[[#This Row],[Stale_prepay]]=0,(tblLines[[#This Row],[Receipt_credit]]&gt;=tblLines[[#This Row],[sg_amount]])),tblLines[[#This Row],[Settled]],Summary!$B$2),"")</f>
        <v/>
      </c>
      <c r="AS7" s="11" t="str">
        <f>IF((tblLines[[#This Row],[Exposed]]=1),MIN(IF(Summary!$B$3="",DATE(2030,12,31),Summary!$B$3-1),IF(AND(tblLines[[#This Row],[Settled]]&lt;&gt;"",tblLines[[#This Row],[Stale_prepay]]=0,(tblLines[[#This Row],[Receipt_credit]]&gt;=tblLines[[#This Row],[sg_amount]]),tblLines[[#This Row],[Final_shortfall]]=0),tblLines[[#This Row],[Settled]],Summary!$B$2)),"")</f>
        <v/>
      </c>
      <c r="AT7" s="9" t="str">
        <f>IF((tblLines[[#This Row],[Exposed]]=1),IF(tblLines[[#This Row],[Past_horizon]]=1,"",MAX(tblLines[[#This Row],[Outstanding_to]]-tblLines[[#This Row],[Final_due]],0)),"")</f>
        <v/>
      </c>
      <c r="AU7"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7" s="9" t="str">
        <f>IF((tblLines[[#This Row],[Exposed]]=1),IF(tblLines[[#This Row],[NEC_end]]&gt;Summary!$B$7,1,0),"")</f>
        <v/>
      </c>
      <c r="AW7" s="10" t="str">
        <f>IF((tblLines[[#This Row],[Exposed]]=1),ROUND(tblLines[[#This Row],[Final_shortfall]],2),"")</f>
        <v/>
      </c>
      <c r="AX7" s="10" t="str">
        <f>IF((tblLines[[#This Row],[Exposed]]=1),ROUND(tblLines[[#This Row],[NEC]],2),"")</f>
        <v/>
      </c>
      <c r="AY7" s="10" t="str">
        <f>IF((tblLines[[#This Row],[Exposed]]=1),0,"")</f>
        <v/>
      </c>
      <c r="AZ7" s="10" t="str">
        <f>IF((tblLines[[#This Row],[Exposed]]=1),ROUND(0.6*(tblLines[[#This Row],[Final_shortfall]]+tblLines[[#This Row],[NEC]]),2),"")</f>
        <v/>
      </c>
      <c r="BA7" s="10" t="str">
        <f>IF((tblLines[[#This Row],[Exposed]]=1),tblLines[[#This Row],[Shortfall_r]]+tblLines[[#This Row],[NEC_r]]+tblLines[[#This Row],[Uplift_best]],"")</f>
        <v/>
      </c>
      <c r="BB7" s="10" t="str">
        <f>IF((tblLines[[#This Row],[Exposed]]=1),tblLines[[#This Row],[Shortfall_r]]+tblLines[[#This Row],[NEC_r]]+tblLines[[#This Row],[Uplift_worst]],"")</f>
        <v/>
      </c>
      <c r="BC7"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7" s="9">
        <f>IF(tblLines[[#This Row],[Settled]]&lt;&gt;"",1,0)</f>
        <v>1</v>
      </c>
      <c r="BE7" s="9">
        <f>IF(AND(tblLines[[#This Row],[Verdict]]&lt;&gt;"",tblLines[[#This Row],[Verdict]]&lt;&gt;"SKIPPED",ISNUMBER(tblLines[[#This Row],[sg_amount]]),tblLines[[#This Row],[sg_amount]]&gt;0),1,0)</f>
        <v>1</v>
      </c>
      <c r="BF7"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7" s="9">
        <f t="array" ref="BG7">IF(COUNTIF(tblLines[employee_id],tblLines[[#This Row],[employee_id]])&gt;SUMPRODUCT(--EXACT(tblLines[employee_id],tblLines[[#This Row],[employee_id]])),1,0)</f>
        <v>0</v>
      </c>
      <c r="BH7" s="9">
        <f>IF(AND(ISNUMBER(MATCH(tblLines[[#This Row],[employee_id]],{"EMP001","EMP002","EMP003","EMP004","EMP005","EMP006","EMP007","EMP001","EMP002","EMP005"},0)),ISNUMBER(MATCH(tblLines[[#This Row],[payment_date]],{46212,46212,46212,46212,46212,46218,46212,46226,46226,46226},0))),1,0)</f>
        <v>1</v>
      </c>
    </row>
    <row r="8" spans="1:60" x14ac:dyDescent="0.25">
      <c r="A8" s="6" t="s">
        <v>77</v>
      </c>
      <c r="B8" s="7">
        <v>46212</v>
      </c>
      <c r="C8" s="8">
        <v>900</v>
      </c>
      <c r="D8" s="7">
        <v>46216</v>
      </c>
      <c r="E8" s="8"/>
      <c r="F8" s="8"/>
      <c r="G8" s="7">
        <v>46216</v>
      </c>
      <c r="H8" s="6" t="s">
        <v>70</v>
      </c>
      <c r="I8" s="6" t="s">
        <v>70</v>
      </c>
      <c r="J8" s="7"/>
      <c r="K8" s="6" t="s">
        <v>75</v>
      </c>
      <c r="L8" s="9">
        <f>IF(OR(LOWER(TRIM(tblLines[[#This Row],[defined_benefit]]&amp;""))={"1","t","true","y","yes"}),1,IF(OR(LOWER(TRIM(tblLines[[#This Row],[defined_benefit]]&amp;""))={"","0","f","false","n","no"}),0,""))</f>
        <v>1</v>
      </c>
      <c r="M8" s="9">
        <f>IF(OR(LOWER(TRIM(tblLines[[#This Row],[out_of_cycle]]&amp;""))={"1","t","true","y","yes"}),1,IF(OR(LOWER(TRIM(tblLines[[#This Row],[out_of_cycle]]&amp;""))={"","0","f","false","n","no"}),0,""))</f>
        <v>0</v>
      </c>
      <c r="N8" s="9">
        <f>IF(OR(LOWER(TRIM(tblLines[[#This Row],[first_contribution_to_fund]]&amp;""))={"1","t","true","y","yes"}),1,IF(OR(LOWER(TRIM(tblLines[[#This Row],[first_contribution_to_fund]]&amp;""))={"","0","f","false","n","no"}),0,""))</f>
        <v>0</v>
      </c>
      <c r="O8"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8"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8" s="10">
        <f>IF(ISNUMBER(tblLines[[#This Row],[matched_amount]]),tblLines[[#This Row],[matched_amount]],IF(ISNUMBER(tblLines[[#This Row],[remitted_amount]]),tblLines[[#This Row],[remitted_amount]],tblLines[[#This Row],[sg_amount]]))</f>
        <v>900</v>
      </c>
      <c r="R8" s="11" t="str">
        <f>IF(AND(tblLines[[#This Row],[Flag_ooc]]=1,ISNUMBER(tblLines[[#This Row],[next_standard_payday]])),WORKDAY.INTL(tblLines[[#This Row],[next_standard_payday]],7,1,tblHolidays[date]),"")</f>
        <v/>
      </c>
      <c r="S8" s="11" t="str">
        <f>IF(tblLines[[#This Row],[Flag_ftf]]=1,WORKDAY.INTL(tblLines[[#This Row],[payment_date]],20,1,tblHolidays[date]),"")</f>
        <v/>
      </c>
      <c r="T8" s="11">
        <f>IF(OR(tblLines[[#This Row],[Flag_db]]=1,NOT(ISNUMBER(tblLines[[#This Row],[payment_date]]))),0,IF(OR(tblLines[[#This Row],[Flag_ooc]]=1,tblLines[[#This Row],[Flag_ftf]]=1),MAX(tblLines[[#This Row],[Due_ooc]],tblLines[[#This Row],[Due_ftf]]),WORKDAY.INTL(tblLines[[#This Row],[payment_date]],7,1,tblHolidays[date])))</f>
        <v>0</v>
      </c>
      <c r="U8" s="9" t="str">
        <f>IF(tblLines[[#This Row],[Flag_db]]=1,"SKIP_DB",IF(tblLines[[#This Row],[Flag_ooc]]=1,IF(AND(tblLines[[#This Row],[Flag_ftf]]=1,tblLines[[#This Row],[Due_ftf]]&gt;tblLines[[#This Row],[Due_ooc]]),"EXTENDED_20BD","OUT_OF_CYCLE"),IF(tblLines[[#This Row],[Flag_ftf]]=1,"EXTENDED_20BD","USUAL_7BD")))</f>
        <v>SKIP_DB</v>
      </c>
      <c r="V8" s="11">
        <f>IF(ISNUMBER(tblLines[[#This Row],[payment_date]]),EDATE(tblLines[[#This Row],[payment_date]]-1,-12)+1,"")</f>
        <v>45847</v>
      </c>
      <c r="W8" s="11">
        <f>IF(AND(ISNUMBER(tblLines[[#This Row],[fund_received_date]]),tblLines[[#This Row],[fund_received_date]]&lt;=Summary!$B$2),tblLines[[#This Row],[fund_received_date]],"")</f>
        <v>46216</v>
      </c>
      <c r="X8" s="11">
        <f>IF(AND(ISNUMBER(tblLines[[#This Row],[remitted_date]]),tblLines[[#This Row],[remitted_date]]&lt;=Summary!$B$2),tblLines[[#This Row],[remitted_date]],"")</f>
        <v>46216</v>
      </c>
      <c r="Y8" s="10">
        <f>IF(tblLines[[#This Row],[Settled]]&lt;&gt;"",MIN(ROUND(tblLines[[#This Row],[Cap]],2),ROUND(tblLines[[#This Row],[sg_amount]],2)),0)</f>
        <v>900</v>
      </c>
      <c r="Z8" s="10">
        <f>IF(ISNUMBER(tblLines[[#This Row],[remitted_amount]]),IF(tblLines[[#This Row],[Remit]]&lt;&gt;"",MIN(ROUND(tblLines[[#This Row],[remitted_amount]],2),ROUND(tblLines[[#This Row],[sg_amount]],2)),0),IF(tblLines[[#This Row],[Remit]]&lt;&gt;"",ROUND(tblLines[[#This Row],[sg_amount]],2),0))</f>
        <v>900</v>
      </c>
      <c r="AA8"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8" s="11" t="str">
        <f t="array" ref="AB8">IF(OR(tblLines[[#This Row],[Flag_db]]=1,tblLines[[#This Row],[Own_due]]=0),"",SUMPRODUCT(MAX(EXACT(tblLines[employee_id],tblLines[[#This Row],[employee_id]])*(tblLines[payment_date]&lt;tblLines[[#This Row],[payment_date]])*(tblLines[Evidence_own]="confirmed")*tblLines[Own_due])))</f>
        <v/>
      </c>
      <c r="AC8" s="11" t="str">
        <f t="array" ref="AC8">IF(OR(tblLines[[#This Row],[Flag_db]]=1,tblLines[[#This Row],[Own_due]]=0),"",SUMPRODUCT(MAX(EXACT(tblLines[employee_id],tblLines[[#This Row],[employee_id]])*(tblLines[payment_date]&lt;tblLines[[#This Row],[payment_date]])*(tblLines[Evidence_own]&lt;&gt;"impossible")*tblLines[Own_due])))</f>
        <v/>
      </c>
      <c r="AD8" s="11" t="str">
        <f>IF(tblLines[[#This Row],[Own_due]]=0,"",IF(AND(ISNUMBER(tblLines[[#This Row],[Confirmed_latest]]),tblLines[[#This Row],[Confirmed_latest]]&gt;tblLines[[#This Row],[Own_due]]),tblLines[[#This Row],[Confirmed_latest]],tblLines[[#This Row],[Own_due]]))</f>
        <v/>
      </c>
      <c r="AE8" s="9" t="str">
        <f>IF(tblLines[[#This Row],[Own_due]]=0,tblLines[[#This Row],[Own_pathway]],IF(AND(ISNUMBER(tblLines[[#This Row],[Confirmed_latest]]),tblLines[[#This Row],[Confirmed_latest]]&gt;tblLines[[#This Row],[Own_due]]),"ITEM4_ALIGNED",tblLines[[#This Row],[Own_pathway]]))</f>
        <v>SKIP_DB</v>
      </c>
      <c r="AF8" s="11" t="str">
        <f>IF(tblLines[[#This Row],[Final_due]]="","",IF(AND(ISNUMBER(tblLines[[#This Row],[Possible_latest]]),tblLines[[#This Row],[Possible_latest]]&gt;tblLines[[#This Row],[Final_due]]),tblLines[[#This Row],[Possible_latest]],""))</f>
        <v/>
      </c>
      <c r="AG8" s="9" t="str">
        <f>IF(tblLines[[#This Row],[Final_due]]="","",IF((tblLines[[#This Row],[Final_due]]&gt;Summary!$B$6),1,0))</f>
        <v/>
      </c>
      <c r="AH8"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DB</v>
      </c>
      <c r="AI8" s="9" t="str">
        <f>IF(tblLines[[#This Row],[Branch]]="","",INDEX(tblCodes[verdict],MATCH(tblLines[[#This Row],[Branch]],tblCodes[code],0)))</f>
        <v>SKIPPED</v>
      </c>
      <c r="AJ8" s="9" t="str">
        <f>IF(tblLines[[#This Row],[Branch]]="","",T(INDEX(tblCodes[unassessable],MATCH(tblLines[[#This Row],[Branch]],tblCodes[code],0))))</f>
        <v/>
      </c>
      <c r="AK8" s="9">
        <f>IF(tblLines[[#This Row],[Branch]]="",0,INDEX(tblCodes[exposed],MATCH(tblLines[[#This Row],[Branch]],tblCodes[code],0)))</f>
        <v>0</v>
      </c>
      <c r="AL8" s="9">
        <f>IF(tblLines[[#This Row],[Branch]]="",0,INDEX(tblCodes[stale],MATCH(tblLines[[#This Row],[Branch]],tblCodes[code],0)))</f>
        <v>0</v>
      </c>
      <c r="AM8" s="10">
        <f>IF(tblLines[[#This Row],[Branch]]="",0,INDEX(tblCodes[otrc],MATCH(tblLines[[#This Row],[Branch]],tblCodes[code],0))*tblLines[[#This Row],[Receipt_credit]])</f>
        <v>0</v>
      </c>
      <c r="AN8" s="10" t="str">
        <f>IF((tblLines[[#This Row],[Exposed]]=1),MAX(ROUND(tblLines[[#This Row],[sg_amount]],2)-tblLines[[#This Row],[OTRC]],0),"")</f>
        <v/>
      </c>
      <c r="AO8" s="10" t="str">
        <f>IF((tblLines[[#This Row],[Exposed]]=1),IF(AND(tblLines[[#This Row],[Settled]]&lt;&gt;"",tblLines[[#This Row],[Stale_prepay]]=0,tblLines[[#This Row],[Settled]]&gt;tblLines[[#This Row],[Final_due]],OR(Summary!$B$3="",tblLines[[#This Row],[Settled]]&lt;Summary!$B$3)),MIN(tblLines[[#This Row],[Receipt_credit]],tblLines[[#This Row],[Base_shortfall]]),0),"")</f>
        <v/>
      </c>
      <c r="AP8" s="10" t="str">
        <f>IF((tblLines[[#This Row],[Exposed]]=1),MAX(tblLines[[#This Row],[Base_shortfall]]-tblLines[[#This Row],[Offset_s18D]],0),"")</f>
        <v/>
      </c>
      <c r="AQ8"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8" s="11" t="str">
        <f>IF((tblLines[[#This Row],[Exposed]]=1),IF(AND(tblLines[[#This Row],[Settled]]&lt;&gt;"",tblLines[[#This Row],[Stale_prepay]]=0,(tblLines[[#This Row],[Receipt_credit]]&gt;=tblLines[[#This Row],[sg_amount]])),tblLines[[#This Row],[Settled]],Summary!$B$2),"")</f>
        <v/>
      </c>
      <c r="AS8" s="11" t="str">
        <f>IF((tblLines[[#This Row],[Exposed]]=1),MIN(IF(Summary!$B$3="",DATE(2030,12,31),Summary!$B$3-1),IF(AND(tblLines[[#This Row],[Settled]]&lt;&gt;"",tblLines[[#This Row],[Stale_prepay]]=0,(tblLines[[#This Row],[Receipt_credit]]&gt;=tblLines[[#This Row],[sg_amount]]),tblLines[[#This Row],[Final_shortfall]]=0),tblLines[[#This Row],[Settled]],Summary!$B$2)),"")</f>
        <v/>
      </c>
      <c r="AT8" s="9" t="str">
        <f>IF((tblLines[[#This Row],[Exposed]]=1),IF(tblLines[[#This Row],[Past_horizon]]=1,"",MAX(tblLines[[#This Row],[Outstanding_to]]-tblLines[[#This Row],[Final_due]],0)),"")</f>
        <v/>
      </c>
      <c r="AU8"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8" s="9" t="str">
        <f>IF((tblLines[[#This Row],[Exposed]]=1),IF(tblLines[[#This Row],[NEC_end]]&gt;Summary!$B$7,1,0),"")</f>
        <v/>
      </c>
      <c r="AW8" s="10" t="str">
        <f>IF((tblLines[[#This Row],[Exposed]]=1),ROUND(tblLines[[#This Row],[Final_shortfall]],2),"")</f>
        <v/>
      </c>
      <c r="AX8" s="10" t="str">
        <f>IF((tblLines[[#This Row],[Exposed]]=1),ROUND(tblLines[[#This Row],[NEC]],2),"")</f>
        <v/>
      </c>
      <c r="AY8" s="10" t="str">
        <f>IF((tblLines[[#This Row],[Exposed]]=1),0,"")</f>
        <v/>
      </c>
      <c r="AZ8" s="10" t="str">
        <f>IF((tblLines[[#This Row],[Exposed]]=1),ROUND(0.6*(tblLines[[#This Row],[Final_shortfall]]+tblLines[[#This Row],[NEC]]),2),"")</f>
        <v/>
      </c>
      <c r="BA8" s="10" t="str">
        <f>IF((tblLines[[#This Row],[Exposed]]=1),tblLines[[#This Row],[Shortfall_r]]+tblLines[[#This Row],[NEC_r]]+tblLines[[#This Row],[Uplift_best]],"")</f>
        <v/>
      </c>
      <c r="BB8" s="10" t="str">
        <f>IF((tblLines[[#This Row],[Exposed]]=1),tblLines[[#This Row],[Shortfall_r]]+tblLines[[#This Row],[NEC_r]]+tblLines[[#This Row],[Uplift_worst]],"")</f>
        <v/>
      </c>
      <c r="BC8"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8" s="9">
        <f>IF(tblLines[[#This Row],[Settled]]&lt;&gt;"",1,0)</f>
        <v>1</v>
      </c>
      <c r="BE8" s="9">
        <f>IF(AND(tblLines[[#This Row],[Verdict]]&lt;&gt;"",tblLines[[#This Row],[Verdict]]&lt;&gt;"SKIPPED",ISNUMBER(tblLines[[#This Row],[sg_amount]]),tblLines[[#This Row],[sg_amount]]&gt;0),1,0)</f>
        <v>0</v>
      </c>
      <c r="BF8"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8" s="9">
        <f t="array" ref="BG8">IF(COUNTIF(tblLines[employee_id],tblLines[[#This Row],[employee_id]])&gt;SUMPRODUCT(--EXACT(tblLines[employee_id],tblLines[[#This Row],[employee_id]])),1,0)</f>
        <v>0</v>
      </c>
      <c r="BH8" s="9">
        <f>IF(AND(ISNUMBER(MATCH(tblLines[[#This Row],[employee_id]],{"EMP001","EMP002","EMP003","EMP004","EMP005","EMP006","EMP007","EMP001","EMP002","EMP005"},0)),ISNUMBER(MATCH(tblLines[[#This Row],[payment_date]],{46212,46212,46212,46212,46212,46218,46212,46226,46226,46226},0))),1,0)</f>
        <v>1</v>
      </c>
    </row>
    <row r="9" spans="1:60" x14ac:dyDescent="0.25">
      <c r="A9" s="6" t="s">
        <v>69</v>
      </c>
      <c r="B9" s="7">
        <v>46226</v>
      </c>
      <c r="C9" s="8">
        <v>612</v>
      </c>
      <c r="D9" s="7">
        <v>46239</v>
      </c>
      <c r="E9" s="8"/>
      <c r="F9" s="8"/>
      <c r="G9" s="7">
        <v>46240</v>
      </c>
      <c r="H9" s="6" t="s">
        <v>70</v>
      </c>
      <c r="I9" s="6" t="s">
        <v>70</v>
      </c>
      <c r="J9" s="7"/>
      <c r="K9" s="6" t="s">
        <v>70</v>
      </c>
      <c r="L9" s="9">
        <f>IF(OR(LOWER(TRIM(tblLines[[#This Row],[defined_benefit]]&amp;""))={"1","t","true","y","yes"}),1,IF(OR(LOWER(TRIM(tblLines[[#This Row],[defined_benefit]]&amp;""))={"","0","f","false","n","no"}),0,""))</f>
        <v>0</v>
      </c>
      <c r="M9" s="9">
        <f>IF(OR(LOWER(TRIM(tblLines[[#This Row],[out_of_cycle]]&amp;""))={"1","t","true","y","yes"}),1,IF(OR(LOWER(TRIM(tblLines[[#This Row],[out_of_cycle]]&amp;""))={"","0","f","false","n","no"}),0,""))</f>
        <v>0</v>
      </c>
      <c r="N9" s="9">
        <f>IF(OR(LOWER(TRIM(tblLines[[#This Row],[first_contribution_to_fund]]&amp;""))={"1","t","true","y","yes"}),1,IF(OR(LOWER(TRIM(tblLines[[#This Row],[first_contribution_to_fund]]&amp;""))={"","0","f","false","n","no"}),0,""))</f>
        <v>0</v>
      </c>
      <c r="O9"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9"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9" s="10">
        <f>IF(ISNUMBER(tblLines[[#This Row],[matched_amount]]),tblLines[[#This Row],[matched_amount]],IF(ISNUMBER(tblLines[[#This Row],[remitted_amount]]),tblLines[[#This Row],[remitted_amount]],tblLines[[#This Row],[sg_amount]]))</f>
        <v>612</v>
      </c>
      <c r="R9" s="11" t="str">
        <f>IF(AND(tblLines[[#This Row],[Flag_ooc]]=1,ISNUMBER(tblLines[[#This Row],[next_standard_payday]])),WORKDAY.INTL(tblLines[[#This Row],[next_standard_payday]],7,1,tblHolidays[date]),"")</f>
        <v/>
      </c>
      <c r="S9" s="11" t="str">
        <f>IF(tblLines[[#This Row],[Flag_ftf]]=1,WORKDAY.INTL(tblLines[[#This Row],[payment_date]],20,1,tblHolidays[date]),"")</f>
        <v/>
      </c>
      <c r="T9" s="11">
        <f>IF(OR(tblLines[[#This Row],[Flag_db]]=1,NOT(ISNUMBER(tblLines[[#This Row],[payment_date]]))),0,IF(OR(tblLines[[#This Row],[Flag_ooc]]=1,tblLines[[#This Row],[Flag_ftf]]=1),MAX(tblLines[[#This Row],[Due_ooc]],tblLines[[#This Row],[Due_ftf]]),WORKDAY.INTL(tblLines[[#This Row],[payment_date]],7,1,tblHolidays[date])))</f>
        <v>46238</v>
      </c>
      <c r="U9" s="9" t="str">
        <f>IF(tblLines[[#This Row],[Flag_db]]=1,"SKIP_DB",IF(tblLines[[#This Row],[Flag_ooc]]=1,IF(AND(tblLines[[#This Row],[Flag_ftf]]=1,tblLines[[#This Row],[Due_ftf]]&gt;tblLines[[#This Row],[Due_ooc]]),"EXTENDED_20BD","OUT_OF_CYCLE"),IF(tblLines[[#This Row],[Flag_ftf]]=1,"EXTENDED_20BD","USUAL_7BD")))</f>
        <v>USUAL_7BD</v>
      </c>
      <c r="V9" s="11">
        <f>IF(ISNUMBER(tblLines[[#This Row],[payment_date]]),EDATE(tblLines[[#This Row],[payment_date]]-1,-12)+1,"")</f>
        <v>45861</v>
      </c>
      <c r="W9" s="11">
        <f>IF(AND(ISNUMBER(tblLines[[#This Row],[fund_received_date]]),tblLines[[#This Row],[fund_received_date]]&lt;=Summary!$B$2),tblLines[[#This Row],[fund_received_date]],"")</f>
        <v>46240</v>
      </c>
      <c r="X9" s="11">
        <f>IF(AND(ISNUMBER(tblLines[[#This Row],[remitted_date]]),tblLines[[#This Row],[remitted_date]]&lt;=Summary!$B$2),tblLines[[#This Row],[remitted_date]],"")</f>
        <v>46239</v>
      </c>
      <c r="Y9" s="10">
        <f>IF(tblLines[[#This Row],[Settled]]&lt;&gt;"",MIN(ROUND(tblLines[[#This Row],[Cap]],2),ROUND(tblLines[[#This Row],[sg_amount]],2)),0)</f>
        <v>612</v>
      </c>
      <c r="Z9" s="10">
        <f>IF(ISNUMBER(tblLines[[#This Row],[remitted_amount]]),IF(tblLines[[#This Row],[Remit]]&lt;&gt;"",MIN(ROUND(tblLines[[#This Row],[remitted_amount]],2),ROUND(tblLines[[#This Row],[sg_amount]],2)),0),IF(tblLines[[#This Row],[Remit]]&lt;&gt;"",ROUND(tblLines[[#This Row],[sg_amount]],2),0))</f>
        <v>612</v>
      </c>
      <c r="AA9"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9" s="11">
        <f t="array" ref="AB9">IF(OR(tblLines[[#This Row],[Flag_db]]=1,tblLines[[#This Row],[Own_due]]=0),"",SUMPRODUCT(MAX(EXACT(tblLines[employee_id],tblLines[[#This Row],[employee_id]])*(tblLines[payment_date]&lt;tblLines[[#This Row],[payment_date]])*(tblLines[Evidence_own]="confirmed")*tblLines[Own_due])))</f>
        <v>46223</v>
      </c>
      <c r="AC9" s="11">
        <f t="array" ref="AC9">IF(OR(tblLines[[#This Row],[Flag_db]]=1,tblLines[[#This Row],[Own_due]]=0),"",SUMPRODUCT(MAX(EXACT(tblLines[employee_id],tblLines[[#This Row],[employee_id]])*(tblLines[payment_date]&lt;tblLines[[#This Row],[payment_date]])*(tblLines[Evidence_own]&lt;&gt;"impossible")*tblLines[Own_due])))</f>
        <v>46223</v>
      </c>
      <c r="AD9" s="11">
        <f>IF(tblLines[[#This Row],[Own_due]]=0,"",IF(AND(ISNUMBER(tblLines[[#This Row],[Confirmed_latest]]),tblLines[[#This Row],[Confirmed_latest]]&gt;tblLines[[#This Row],[Own_due]]),tblLines[[#This Row],[Confirmed_latest]],tblLines[[#This Row],[Own_due]]))</f>
        <v>46238</v>
      </c>
      <c r="AE9" s="9" t="str">
        <f>IF(tblLines[[#This Row],[Own_due]]=0,tblLines[[#This Row],[Own_pathway]],IF(AND(ISNUMBER(tblLines[[#This Row],[Confirmed_latest]]),tblLines[[#This Row],[Confirmed_latest]]&gt;tblLines[[#This Row],[Own_due]]),"ITEM4_ALIGNED",tblLines[[#This Row],[Own_pathway]]))</f>
        <v>USUAL_7BD</v>
      </c>
      <c r="AF9" s="11" t="str">
        <f>IF(tblLines[[#This Row],[Final_due]]="","",IF(AND(ISNUMBER(tblLines[[#This Row],[Possible_latest]]),tblLines[[#This Row],[Possible_latest]]&gt;tblLines[[#This Row],[Final_due]]),tblLines[[#This Row],[Possible_latest]],""))</f>
        <v/>
      </c>
      <c r="AG9" s="9">
        <f>IF(tblLines[[#This Row],[Final_due]]="","",IF((tblLines[[#This Row],[Final_due]]&gt;Summary!$B$6),1,0))</f>
        <v>0</v>
      </c>
      <c r="AH9"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E</v>
      </c>
      <c r="AI9" s="9" t="str">
        <f>IF(tblLines[[#This Row],[Branch]]="","",INDEX(tblCodes[verdict],MATCH(tblLines[[#This Row],[Branch]],tblCodes[code],0)))</f>
        <v>LATE</v>
      </c>
      <c r="AJ9" s="9" t="str">
        <f>IF(tblLines[[#This Row],[Branch]]="","",T(INDEX(tblCodes[unassessable],MATCH(tblLines[[#This Row],[Branch]],tblCodes[code],0))))</f>
        <v/>
      </c>
      <c r="AK9" s="9">
        <f>IF(tblLines[[#This Row],[Branch]]="",0,INDEX(tblCodes[exposed],MATCH(tblLines[[#This Row],[Branch]],tblCodes[code],0)))</f>
        <v>1</v>
      </c>
      <c r="AL9" s="9">
        <f>IF(tblLines[[#This Row],[Branch]]="",0,INDEX(tblCodes[stale],MATCH(tblLines[[#This Row],[Branch]],tblCodes[code],0)))</f>
        <v>0</v>
      </c>
      <c r="AM9" s="10">
        <f>IF(tblLines[[#This Row],[Branch]]="",0,INDEX(tblCodes[otrc],MATCH(tblLines[[#This Row],[Branch]],tblCodes[code],0))*tblLines[[#This Row],[Receipt_credit]])</f>
        <v>0</v>
      </c>
      <c r="AN9" s="10">
        <f>IF((tblLines[[#This Row],[Exposed]]=1),MAX(ROUND(tblLines[[#This Row],[sg_amount]],2)-tblLines[[#This Row],[OTRC]],0),"")</f>
        <v>612</v>
      </c>
      <c r="AO9" s="10">
        <f>IF((tblLines[[#This Row],[Exposed]]=1),IF(AND(tblLines[[#This Row],[Settled]]&lt;&gt;"",tblLines[[#This Row],[Stale_prepay]]=0,tblLines[[#This Row],[Settled]]&gt;tblLines[[#This Row],[Final_due]],OR(Summary!$B$3="",tblLines[[#This Row],[Settled]]&lt;Summary!$B$3)),MIN(tblLines[[#This Row],[Receipt_credit]],tblLines[[#This Row],[Base_shortfall]]),0),"")</f>
        <v>612</v>
      </c>
      <c r="AP9" s="10">
        <f>IF((tblLines[[#This Row],[Exposed]]=1),MAX(tblLines[[#This Row],[Base_shortfall]]-tblLines[[#This Row],[Offset_s18D]],0),"")</f>
        <v>0</v>
      </c>
      <c r="AQ9"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R9" s="11">
        <f>IF((tblLines[[#This Row],[Exposed]]=1),IF(AND(tblLines[[#This Row],[Settled]]&lt;&gt;"",tblLines[[#This Row],[Stale_prepay]]=0,(tblLines[[#This Row],[Receipt_credit]]&gt;=tblLines[[#This Row],[sg_amount]])),tblLines[[#This Row],[Settled]],Summary!$B$2),"")</f>
        <v>46240</v>
      </c>
      <c r="AS9" s="11">
        <f>IF((tblLines[[#This Row],[Exposed]]=1),MIN(IF(Summary!$B$3="",DATE(2030,12,31),Summary!$B$3-1),IF(AND(tblLines[[#This Row],[Settled]]&lt;&gt;"",tblLines[[#This Row],[Stale_prepay]]=0,(tblLines[[#This Row],[Receipt_credit]]&gt;=tblLines[[#This Row],[sg_amount]]),tblLines[[#This Row],[Final_shortfall]]=0),tblLines[[#This Row],[Settled]],Summary!$B$2)),"")</f>
        <v>46240</v>
      </c>
      <c r="AT9" s="9">
        <f>IF((tblLines[[#This Row],[Exposed]]=1),IF(tblLines[[#This Row],[Past_horizon]]=1,"",MAX(tblLines[[#This Row],[Outstanding_to]]-tblLines[[#This Row],[Final_due]],0)),"")</f>
        <v>2</v>
      </c>
      <c r="AU9" s="10">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AV9" s="9">
        <f>IF((tblLines[[#This Row],[Exposed]]=1),IF(tblLines[[#This Row],[NEC_end]]&gt;Summary!$B$7,1,0),"")</f>
        <v>0</v>
      </c>
      <c r="AW9" s="10">
        <f>IF((tblLines[[#This Row],[Exposed]]=1),ROUND(tblLines[[#This Row],[Final_shortfall]],2),"")</f>
        <v>0</v>
      </c>
      <c r="AX9" s="10">
        <f>IF((tblLines[[#This Row],[Exposed]]=1),ROUND(tblLines[[#This Row],[NEC]],2),"")</f>
        <v>0.38</v>
      </c>
      <c r="AY9" s="10">
        <f>IF((tblLines[[#This Row],[Exposed]]=1),0,"")</f>
        <v>0</v>
      </c>
      <c r="AZ9" s="10">
        <f>IF((tblLines[[#This Row],[Exposed]]=1),ROUND(0.6*(tblLines[[#This Row],[Final_shortfall]]+tblLines[[#This Row],[NEC]]),2),"")</f>
        <v>0.23</v>
      </c>
      <c r="BA9" s="10">
        <f>IF((tblLines[[#This Row],[Exposed]]=1),tblLines[[#This Row],[Shortfall_r]]+tblLines[[#This Row],[NEC_r]]+tblLines[[#This Row],[Uplift_best]],"")</f>
        <v>0.38</v>
      </c>
      <c r="BB9" s="10">
        <f>IF((tblLines[[#This Row],[Exposed]]=1),tblLines[[#This Row],[Shortfall_r]]+tblLines[[#This Row],[NEC_r]]+tblLines[[#This Row],[Uplift_worst]],"")</f>
        <v>0.61</v>
      </c>
      <c r="BC9"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9" s="9">
        <f>IF(tblLines[[#This Row],[Settled]]&lt;&gt;"",1,0)</f>
        <v>1</v>
      </c>
      <c r="BE9" s="9">
        <f>IF(AND(tblLines[[#This Row],[Verdict]]&lt;&gt;"",tblLines[[#This Row],[Verdict]]&lt;&gt;"SKIPPED",ISNUMBER(tblLines[[#This Row],[sg_amount]]),tblLines[[#This Row],[sg_amount]]&gt;0),1,0)</f>
        <v>1</v>
      </c>
      <c r="BF9"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9" s="9">
        <f t="array" ref="BG9">IF(COUNTIF(tblLines[employee_id],tblLines[[#This Row],[employee_id]])&gt;SUMPRODUCT(--EXACT(tblLines[employee_id],tblLines[[#This Row],[employee_id]])),1,0)</f>
        <v>0</v>
      </c>
      <c r="BH9" s="9">
        <f>IF(AND(ISNUMBER(MATCH(tblLines[[#This Row],[employee_id]],{"EMP001","EMP002","EMP003","EMP004","EMP005","EMP006","EMP007","EMP001","EMP002","EMP005"},0)),ISNUMBER(MATCH(tblLines[[#This Row],[payment_date]],{46212,46212,46212,46212,46212,46218,46212,46226,46226,46226},0))),1,0)</f>
        <v>1</v>
      </c>
    </row>
    <row r="10" spans="1:60" x14ac:dyDescent="0.25">
      <c r="A10" s="6" t="s">
        <v>71</v>
      </c>
      <c r="B10" s="7">
        <v>46226</v>
      </c>
      <c r="C10" s="8">
        <v>540</v>
      </c>
      <c r="D10" s="7">
        <v>46231</v>
      </c>
      <c r="E10" s="8"/>
      <c r="F10" s="8"/>
      <c r="G10" s="7">
        <v>46233</v>
      </c>
      <c r="H10" s="6" t="s">
        <v>70</v>
      </c>
      <c r="I10" s="6" t="s">
        <v>70</v>
      </c>
      <c r="J10" s="7"/>
      <c r="K10" s="6" t="s">
        <v>70</v>
      </c>
      <c r="L10" s="9">
        <f>IF(OR(LOWER(TRIM(tblLines[[#This Row],[defined_benefit]]&amp;""))={"1","t","true","y","yes"}),1,IF(OR(LOWER(TRIM(tblLines[[#This Row],[defined_benefit]]&amp;""))={"","0","f","false","n","no"}),0,""))</f>
        <v>0</v>
      </c>
      <c r="M10" s="9">
        <f>IF(OR(LOWER(TRIM(tblLines[[#This Row],[out_of_cycle]]&amp;""))={"1","t","true","y","yes"}),1,IF(OR(LOWER(TRIM(tblLines[[#This Row],[out_of_cycle]]&amp;""))={"","0","f","false","n","no"}),0,""))</f>
        <v>0</v>
      </c>
      <c r="N10" s="9">
        <f>IF(OR(LOWER(TRIM(tblLines[[#This Row],[first_contribution_to_fund]]&amp;""))={"1","t","true","y","yes"}),1,IF(OR(LOWER(TRIM(tblLines[[#This Row],[first_contribution_to_fund]]&amp;""))={"","0","f","false","n","no"}),0,""))</f>
        <v>0</v>
      </c>
      <c r="O10"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10"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10" s="10">
        <f>IF(ISNUMBER(tblLines[[#This Row],[matched_amount]]),tblLines[[#This Row],[matched_amount]],IF(ISNUMBER(tblLines[[#This Row],[remitted_amount]]),tblLines[[#This Row],[remitted_amount]],tblLines[[#This Row],[sg_amount]]))</f>
        <v>540</v>
      </c>
      <c r="R10" s="11" t="str">
        <f>IF(AND(tblLines[[#This Row],[Flag_ooc]]=1,ISNUMBER(tblLines[[#This Row],[next_standard_payday]])),WORKDAY.INTL(tblLines[[#This Row],[next_standard_payday]],7,1,tblHolidays[date]),"")</f>
        <v/>
      </c>
      <c r="S10" s="11" t="str">
        <f>IF(tblLines[[#This Row],[Flag_ftf]]=1,WORKDAY.INTL(tblLines[[#This Row],[payment_date]],20,1,tblHolidays[date]),"")</f>
        <v/>
      </c>
      <c r="T10" s="11">
        <f>IF(OR(tblLines[[#This Row],[Flag_db]]=1,NOT(ISNUMBER(tblLines[[#This Row],[payment_date]]))),0,IF(OR(tblLines[[#This Row],[Flag_ooc]]=1,tblLines[[#This Row],[Flag_ftf]]=1),MAX(tblLines[[#This Row],[Due_ooc]],tblLines[[#This Row],[Due_ftf]]),WORKDAY.INTL(tblLines[[#This Row],[payment_date]],7,1,tblHolidays[date])))</f>
        <v>46238</v>
      </c>
      <c r="U10" s="9" t="str">
        <f>IF(tblLines[[#This Row],[Flag_db]]=1,"SKIP_DB",IF(tblLines[[#This Row],[Flag_ooc]]=1,IF(AND(tblLines[[#This Row],[Flag_ftf]]=1,tblLines[[#This Row],[Due_ftf]]&gt;tblLines[[#This Row],[Due_ooc]]),"EXTENDED_20BD","OUT_OF_CYCLE"),IF(tblLines[[#This Row],[Flag_ftf]]=1,"EXTENDED_20BD","USUAL_7BD")))</f>
        <v>USUAL_7BD</v>
      </c>
      <c r="V10" s="11">
        <f>IF(ISNUMBER(tblLines[[#This Row],[payment_date]]),EDATE(tblLines[[#This Row],[payment_date]]-1,-12)+1,"")</f>
        <v>45861</v>
      </c>
      <c r="W10" s="11">
        <f>IF(AND(ISNUMBER(tblLines[[#This Row],[fund_received_date]]),tblLines[[#This Row],[fund_received_date]]&lt;=Summary!$B$2),tblLines[[#This Row],[fund_received_date]],"")</f>
        <v>46233</v>
      </c>
      <c r="X10" s="11">
        <f>IF(AND(ISNUMBER(tblLines[[#This Row],[remitted_date]]),tblLines[[#This Row],[remitted_date]]&lt;=Summary!$B$2),tblLines[[#This Row],[remitted_date]],"")</f>
        <v>46231</v>
      </c>
      <c r="Y10" s="10">
        <f>IF(tblLines[[#This Row],[Settled]]&lt;&gt;"",MIN(ROUND(tblLines[[#This Row],[Cap]],2),ROUND(tblLines[[#This Row],[sg_amount]],2)),0)</f>
        <v>540</v>
      </c>
      <c r="Z10" s="10">
        <f>IF(ISNUMBER(tblLines[[#This Row],[remitted_amount]]),IF(tblLines[[#This Row],[Remit]]&lt;&gt;"",MIN(ROUND(tblLines[[#This Row],[remitted_amount]],2),ROUND(tblLines[[#This Row],[sg_amount]],2)),0),IF(tblLines[[#This Row],[Remit]]&lt;&gt;"",ROUND(tblLines[[#This Row],[sg_amount]],2),0))</f>
        <v>540</v>
      </c>
      <c r="AA10"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10" s="11">
        <f t="array" ref="AB10">IF(OR(tblLines[[#This Row],[Flag_db]]=1,tblLines[[#This Row],[Own_due]]=0),"",SUMPRODUCT(MAX(EXACT(tblLines[employee_id],tblLines[[#This Row],[employee_id]])*(tblLines[payment_date]&lt;tblLines[[#This Row],[payment_date]])*(tblLines[Evidence_own]="confirmed")*tblLines[Own_due])))</f>
        <v>0</v>
      </c>
      <c r="AC10" s="11">
        <f t="array" ref="AC10">IF(OR(tblLines[[#This Row],[Flag_db]]=1,tblLines[[#This Row],[Own_due]]=0),"",SUMPRODUCT(MAX(EXACT(tblLines[employee_id],tblLines[[#This Row],[employee_id]])*(tblLines[payment_date]&lt;tblLines[[#This Row],[payment_date]])*(tblLines[Evidence_own]&lt;&gt;"impossible")*tblLines[Own_due])))</f>
        <v>0</v>
      </c>
      <c r="AD10" s="11">
        <f>IF(tblLines[[#This Row],[Own_due]]=0,"",IF(AND(ISNUMBER(tblLines[[#This Row],[Confirmed_latest]]),tblLines[[#This Row],[Confirmed_latest]]&gt;tblLines[[#This Row],[Own_due]]),tblLines[[#This Row],[Confirmed_latest]],tblLines[[#This Row],[Own_due]]))</f>
        <v>46238</v>
      </c>
      <c r="AE10" s="9" t="str">
        <f>IF(tblLines[[#This Row],[Own_due]]=0,tblLines[[#This Row],[Own_pathway]],IF(AND(ISNUMBER(tblLines[[#This Row],[Confirmed_latest]]),tblLines[[#This Row],[Confirmed_latest]]&gt;tblLines[[#This Row],[Own_due]]),"ITEM4_ALIGNED",tblLines[[#This Row],[Own_pathway]]))</f>
        <v>USUAL_7BD</v>
      </c>
      <c r="AF10" s="11" t="str">
        <f>IF(tblLines[[#This Row],[Final_due]]="","",IF(AND(ISNUMBER(tblLines[[#This Row],[Possible_latest]]),tblLines[[#This Row],[Possible_latest]]&gt;tblLines[[#This Row],[Final_due]]),tblLines[[#This Row],[Possible_latest]],""))</f>
        <v/>
      </c>
      <c r="AG10" s="9">
        <f>IF(tblLines[[#This Row],[Final_due]]="","",IF((tblLines[[#This Row],[Final_due]]&gt;Summary!$B$6),1,0))</f>
        <v>0</v>
      </c>
      <c r="AH10"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10" s="9" t="str">
        <f>IF(tblLines[[#This Row],[Branch]]="","",INDEX(tblCodes[verdict],MATCH(tblLines[[#This Row],[Branch]],tblCodes[code],0)))</f>
        <v>ON_TIME</v>
      </c>
      <c r="AJ10" s="9" t="str">
        <f>IF(tblLines[[#This Row],[Branch]]="","",T(INDEX(tblCodes[unassessable],MATCH(tblLines[[#This Row],[Branch]],tblCodes[code],0))))</f>
        <v/>
      </c>
      <c r="AK10" s="9">
        <f>IF(tblLines[[#This Row],[Branch]]="",0,INDEX(tblCodes[exposed],MATCH(tblLines[[#This Row],[Branch]],tblCodes[code],0)))</f>
        <v>0</v>
      </c>
      <c r="AL10" s="9">
        <f>IF(tblLines[[#This Row],[Branch]]="",0,INDEX(tblCodes[stale],MATCH(tblLines[[#This Row],[Branch]],tblCodes[code],0)))</f>
        <v>0</v>
      </c>
      <c r="AM10" s="10">
        <f>IF(tblLines[[#This Row],[Branch]]="",0,INDEX(tblCodes[otrc],MATCH(tblLines[[#This Row],[Branch]],tblCodes[code],0))*tblLines[[#This Row],[Receipt_credit]])</f>
        <v>540</v>
      </c>
      <c r="AN10" s="10" t="str">
        <f>IF((tblLines[[#This Row],[Exposed]]=1),MAX(ROUND(tblLines[[#This Row],[sg_amount]],2)-tblLines[[#This Row],[OTRC]],0),"")</f>
        <v/>
      </c>
      <c r="AO10" s="10" t="str">
        <f>IF((tblLines[[#This Row],[Exposed]]=1),IF(AND(tblLines[[#This Row],[Settled]]&lt;&gt;"",tblLines[[#This Row],[Stale_prepay]]=0,tblLines[[#This Row],[Settled]]&gt;tblLines[[#This Row],[Final_due]],OR(Summary!$B$3="",tblLines[[#This Row],[Settled]]&lt;Summary!$B$3)),MIN(tblLines[[#This Row],[Receipt_credit]],tblLines[[#This Row],[Base_shortfall]]),0),"")</f>
        <v/>
      </c>
      <c r="AP10" s="10" t="str">
        <f>IF((tblLines[[#This Row],[Exposed]]=1),MAX(tblLines[[#This Row],[Base_shortfall]]-tblLines[[#This Row],[Offset_s18D]],0),"")</f>
        <v/>
      </c>
      <c r="AQ10"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10" s="11" t="str">
        <f>IF((tblLines[[#This Row],[Exposed]]=1),IF(AND(tblLines[[#This Row],[Settled]]&lt;&gt;"",tblLines[[#This Row],[Stale_prepay]]=0,(tblLines[[#This Row],[Receipt_credit]]&gt;=tblLines[[#This Row],[sg_amount]])),tblLines[[#This Row],[Settled]],Summary!$B$2),"")</f>
        <v/>
      </c>
      <c r="AS10" s="11" t="str">
        <f>IF((tblLines[[#This Row],[Exposed]]=1),MIN(IF(Summary!$B$3="",DATE(2030,12,31),Summary!$B$3-1),IF(AND(tblLines[[#This Row],[Settled]]&lt;&gt;"",tblLines[[#This Row],[Stale_prepay]]=0,(tblLines[[#This Row],[Receipt_credit]]&gt;=tblLines[[#This Row],[sg_amount]]),tblLines[[#This Row],[Final_shortfall]]=0),tblLines[[#This Row],[Settled]],Summary!$B$2)),"")</f>
        <v/>
      </c>
      <c r="AT10" s="9" t="str">
        <f>IF((tblLines[[#This Row],[Exposed]]=1),IF(tblLines[[#This Row],[Past_horizon]]=1,"",MAX(tblLines[[#This Row],[Outstanding_to]]-tblLines[[#This Row],[Final_due]],0)),"")</f>
        <v/>
      </c>
      <c r="AU10"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10" s="9" t="str">
        <f>IF((tblLines[[#This Row],[Exposed]]=1),IF(tblLines[[#This Row],[NEC_end]]&gt;Summary!$B$7,1,0),"")</f>
        <v/>
      </c>
      <c r="AW10" s="10" t="str">
        <f>IF((tblLines[[#This Row],[Exposed]]=1),ROUND(tblLines[[#This Row],[Final_shortfall]],2),"")</f>
        <v/>
      </c>
      <c r="AX10" s="10" t="str">
        <f>IF((tblLines[[#This Row],[Exposed]]=1),ROUND(tblLines[[#This Row],[NEC]],2),"")</f>
        <v/>
      </c>
      <c r="AY10" s="10" t="str">
        <f>IF((tblLines[[#This Row],[Exposed]]=1),0,"")</f>
        <v/>
      </c>
      <c r="AZ10" s="10" t="str">
        <f>IF((tblLines[[#This Row],[Exposed]]=1),ROUND(0.6*(tblLines[[#This Row],[Final_shortfall]]+tblLines[[#This Row],[NEC]]),2),"")</f>
        <v/>
      </c>
      <c r="BA10" s="10" t="str">
        <f>IF((tblLines[[#This Row],[Exposed]]=1),tblLines[[#This Row],[Shortfall_r]]+tblLines[[#This Row],[NEC_r]]+tblLines[[#This Row],[Uplift_best]],"")</f>
        <v/>
      </c>
      <c r="BB10" s="10" t="str">
        <f>IF((tblLines[[#This Row],[Exposed]]=1),tblLines[[#This Row],[Shortfall_r]]+tblLines[[#This Row],[NEC_r]]+tblLines[[#This Row],[Uplift_worst]],"")</f>
        <v/>
      </c>
      <c r="BC10"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10" s="9">
        <f>IF(tblLines[[#This Row],[Settled]]&lt;&gt;"",1,0)</f>
        <v>1</v>
      </c>
      <c r="BE10" s="9">
        <f>IF(AND(tblLines[[#This Row],[Verdict]]&lt;&gt;"",tblLines[[#This Row],[Verdict]]&lt;&gt;"SKIPPED",ISNUMBER(tblLines[[#This Row],[sg_amount]]),tblLines[[#This Row],[sg_amount]]&gt;0),1,0)</f>
        <v>1</v>
      </c>
      <c r="BF10"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10" s="9">
        <f t="array" ref="BG10">IF(COUNTIF(tblLines[employee_id],tblLines[[#This Row],[employee_id]])&gt;SUMPRODUCT(--EXACT(tblLines[employee_id],tblLines[[#This Row],[employee_id]])),1,0)</f>
        <v>0</v>
      </c>
      <c r="BH10" s="9">
        <f>IF(AND(ISNUMBER(MATCH(tblLines[[#This Row],[employee_id]],{"EMP001","EMP002","EMP003","EMP004","EMP005","EMP006","EMP007","EMP001","EMP002","EMP005"},0)),ISNUMBER(MATCH(tblLines[[#This Row],[payment_date]],{46212,46212,46212,46212,46212,46218,46212,46226,46226,46226},0))),1,0)</f>
        <v>1</v>
      </c>
    </row>
    <row r="11" spans="1:60" x14ac:dyDescent="0.25">
      <c r="A11" s="6" t="s">
        <v>74</v>
      </c>
      <c r="B11" s="7">
        <v>46226</v>
      </c>
      <c r="C11" s="8">
        <v>450</v>
      </c>
      <c r="D11" s="7">
        <v>46239</v>
      </c>
      <c r="E11" s="8"/>
      <c r="F11" s="8"/>
      <c r="G11" s="7">
        <v>46240</v>
      </c>
      <c r="H11" s="6" t="s">
        <v>70</v>
      </c>
      <c r="I11" s="6" t="s">
        <v>70</v>
      </c>
      <c r="J11" s="7"/>
      <c r="K11" s="6" t="s">
        <v>70</v>
      </c>
      <c r="L11" s="9">
        <f>IF(OR(LOWER(TRIM(tblLines[[#This Row],[defined_benefit]]&amp;""))={"1","t","true","y","yes"}),1,IF(OR(LOWER(TRIM(tblLines[[#This Row],[defined_benefit]]&amp;""))={"","0","f","false","n","no"}),0,""))</f>
        <v>0</v>
      </c>
      <c r="M11" s="9">
        <f>IF(OR(LOWER(TRIM(tblLines[[#This Row],[out_of_cycle]]&amp;""))={"1","t","true","y","yes"}),1,IF(OR(LOWER(TRIM(tblLines[[#This Row],[out_of_cycle]]&amp;""))={"","0","f","false","n","no"}),0,""))</f>
        <v>0</v>
      </c>
      <c r="N11" s="9">
        <f>IF(OR(LOWER(TRIM(tblLines[[#This Row],[first_contribution_to_fund]]&amp;""))={"1","t","true","y","yes"}),1,IF(OR(LOWER(TRIM(tblLines[[#This Row],[first_contribution_to_fund]]&amp;""))={"","0","f","false","n","no"}),0,""))</f>
        <v>0</v>
      </c>
      <c r="O11"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11"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11" s="10">
        <f>IF(ISNUMBER(tblLines[[#This Row],[matched_amount]]),tblLines[[#This Row],[matched_amount]],IF(ISNUMBER(tblLines[[#This Row],[remitted_amount]]),tblLines[[#This Row],[remitted_amount]],tblLines[[#This Row],[sg_amount]]))</f>
        <v>450</v>
      </c>
      <c r="R11" s="11" t="str">
        <f>IF(AND(tblLines[[#This Row],[Flag_ooc]]=1,ISNUMBER(tblLines[[#This Row],[next_standard_payday]])),WORKDAY.INTL(tblLines[[#This Row],[next_standard_payday]],7,1,tblHolidays[date]),"")</f>
        <v/>
      </c>
      <c r="S11" s="11" t="str">
        <f>IF(tblLines[[#This Row],[Flag_ftf]]=1,WORKDAY.INTL(tblLines[[#This Row],[payment_date]],20,1,tblHolidays[date]),"")</f>
        <v/>
      </c>
      <c r="T11" s="11">
        <f>IF(OR(tblLines[[#This Row],[Flag_db]]=1,NOT(ISNUMBER(tblLines[[#This Row],[payment_date]]))),0,IF(OR(tblLines[[#This Row],[Flag_ooc]]=1,tblLines[[#This Row],[Flag_ftf]]=1),MAX(tblLines[[#This Row],[Due_ooc]],tblLines[[#This Row],[Due_ftf]]),WORKDAY.INTL(tblLines[[#This Row],[payment_date]],7,1,tblHolidays[date])))</f>
        <v>46238</v>
      </c>
      <c r="U11" s="9" t="str">
        <f>IF(tblLines[[#This Row],[Flag_db]]=1,"SKIP_DB",IF(tblLines[[#This Row],[Flag_ooc]]=1,IF(AND(tblLines[[#This Row],[Flag_ftf]]=1,tblLines[[#This Row],[Due_ftf]]&gt;tblLines[[#This Row],[Due_ooc]]),"EXTENDED_20BD","OUT_OF_CYCLE"),IF(tblLines[[#This Row],[Flag_ftf]]=1,"EXTENDED_20BD","USUAL_7BD")))</f>
        <v>USUAL_7BD</v>
      </c>
      <c r="V11" s="11">
        <f>IF(ISNUMBER(tblLines[[#This Row],[payment_date]]),EDATE(tblLines[[#This Row],[payment_date]]-1,-12)+1,"")</f>
        <v>45861</v>
      </c>
      <c r="W11" s="11">
        <f>IF(AND(ISNUMBER(tblLines[[#This Row],[fund_received_date]]),tblLines[[#This Row],[fund_received_date]]&lt;=Summary!$B$2),tblLines[[#This Row],[fund_received_date]],"")</f>
        <v>46240</v>
      </c>
      <c r="X11" s="11">
        <f>IF(AND(ISNUMBER(tblLines[[#This Row],[remitted_date]]),tblLines[[#This Row],[remitted_date]]&lt;=Summary!$B$2),tblLines[[#This Row],[remitted_date]],"")</f>
        <v>46239</v>
      </c>
      <c r="Y11" s="10">
        <f>IF(tblLines[[#This Row],[Settled]]&lt;&gt;"",MIN(ROUND(tblLines[[#This Row],[Cap]],2),ROUND(tblLines[[#This Row],[sg_amount]],2)),0)</f>
        <v>450</v>
      </c>
      <c r="Z11" s="10">
        <f>IF(ISNUMBER(tblLines[[#This Row],[remitted_amount]]),IF(tblLines[[#This Row],[Remit]]&lt;&gt;"",MIN(ROUND(tblLines[[#This Row],[remitted_amount]],2),ROUND(tblLines[[#This Row],[sg_amount]],2)),0),IF(tblLines[[#This Row],[Remit]]&lt;&gt;"",ROUND(tblLines[[#This Row],[sg_amount]],2),0))</f>
        <v>450</v>
      </c>
      <c r="AA11"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11" s="11">
        <f t="array" ref="AB11">IF(OR(tblLines[[#This Row],[Flag_db]]=1,tblLines[[#This Row],[Own_due]]=0),"",SUMPRODUCT(MAX(EXACT(tblLines[employee_id],tblLines[[#This Row],[employee_id]])*(tblLines[payment_date]&lt;tblLines[[#This Row],[payment_date]])*(tblLines[Evidence_own]="confirmed")*tblLines[Own_due])))</f>
        <v>46241</v>
      </c>
      <c r="AC11" s="11">
        <f t="array" ref="AC11">IF(OR(tblLines[[#This Row],[Flag_db]]=1,tblLines[[#This Row],[Own_due]]=0),"",SUMPRODUCT(MAX(EXACT(tblLines[employee_id],tblLines[[#This Row],[employee_id]])*(tblLines[payment_date]&lt;tblLines[[#This Row],[payment_date]])*(tblLines[Evidence_own]&lt;&gt;"impossible")*tblLines[Own_due])))</f>
        <v>46241</v>
      </c>
      <c r="AD11" s="11">
        <f>IF(tblLines[[#This Row],[Own_due]]=0,"",IF(AND(ISNUMBER(tblLines[[#This Row],[Confirmed_latest]]),tblLines[[#This Row],[Confirmed_latest]]&gt;tblLines[[#This Row],[Own_due]]),tblLines[[#This Row],[Confirmed_latest]],tblLines[[#This Row],[Own_due]]))</f>
        <v>46241</v>
      </c>
      <c r="AE11" s="9" t="str">
        <f>IF(tblLines[[#This Row],[Own_due]]=0,tblLines[[#This Row],[Own_pathway]],IF(AND(ISNUMBER(tblLines[[#This Row],[Confirmed_latest]]),tblLines[[#This Row],[Confirmed_latest]]&gt;tblLines[[#This Row],[Own_due]]),"ITEM4_ALIGNED",tblLines[[#This Row],[Own_pathway]]))</f>
        <v>ITEM4_ALIGNED</v>
      </c>
      <c r="AF11" s="11" t="str">
        <f>IF(tblLines[[#This Row],[Final_due]]="","",IF(AND(ISNUMBER(tblLines[[#This Row],[Possible_latest]]),tblLines[[#This Row],[Possible_latest]]&gt;tblLines[[#This Row],[Final_due]]),tblLines[[#This Row],[Possible_latest]],""))</f>
        <v/>
      </c>
      <c r="AG11" s="9">
        <f>IF(tblLines[[#This Row],[Final_due]]="","",IF((tblLines[[#This Row],[Final_due]]&gt;Summary!$B$6),1,0))</f>
        <v>0</v>
      </c>
      <c r="AH11"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11" s="9" t="str">
        <f>IF(tblLines[[#This Row],[Branch]]="","",INDEX(tblCodes[verdict],MATCH(tblLines[[#This Row],[Branch]],tblCodes[code],0)))</f>
        <v>ON_TIME</v>
      </c>
      <c r="AJ11" s="9" t="str">
        <f>IF(tblLines[[#This Row],[Branch]]="","",T(INDEX(tblCodes[unassessable],MATCH(tblLines[[#This Row],[Branch]],tblCodes[code],0))))</f>
        <v/>
      </c>
      <c r="AK11" s="9">
        <f>IF(tblLines[[#This Row],[Branch]]="",0,INDEX(tblCodes[exposed],MATCH(tblLines[[#This Row],[Branch]],tblCodes[code],0)))</f>
        <v>0</v>
      </c>
      <c r="AL11" s="9">
        <f>IF(tblLines[[#This Row],[Branch]]="",0,INDEX(tblCodes[stale],MATCH(tblLines[[#This Row],[Branch]],tblCodes[code],0)))</f>
        <v>0</v>
      </c>
      <c r="AM11" s="10">
        <f>IF(tblLines[[#This Row],[Branch]]="",0,INDEX(tblCodes[otrc],MATCH(tblLines[[#This Row],[Branch]],tblCodes[code],0))*tblLines[[#This Row],[Receipt_credit]])</f>
        <v>450</v>
      </c>
      <c r="AN11" s="10" t="str">
        <f>IF((tblLines[[#This Row],[Exposed]]=1),MAX(ROUND(tblLines[[#This Row],[sg_amount]],2)-tblLines[[#This Row],[OTRC]],0),"")</f>
        <v/>
      </c>
      <c r="AO11" s="10" t="str">
        <f>IF((tblLines[[#This Row],[Exposed]]=1),IF(AND(tblLines[[#This Row],[Settled]]&lt;&gt;"",tblLines[[#This Row],[Stale_prepay]]=0,tblLines[[#This Row],[Settled]]&gt;tblLines[[#This Row],[Final_due]],OR(Summary!$B$3="",tblLines[[#This Row],[Settled]]&lt;Summary!$B$3)),MIN(tblLines[[#This Row],[Receipt_credit]],tblLines[[#This Row],[Base_shortfall]]),0),"")</f>
        <v/>
      </c>
      <c r="AP11" s="10" t="str">
        <f>IF((tblLines[[#This Row],[Exposed]]=1),MAX(tblLines[[#This Row],[Base_shortfall]]-tblLines[[#This Row],[Offset_s18D]],0),"")</f>
        <v/>
      </c>
      <c r="AQ11"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11" s="11" t="str">
        <f>IF((tblLines[[#This Row],[Exposed]]=1),IF(AND(tblLines[[#This Row],[Settled]]&lt;&gt;"",tblLines[[#This Row],[Stale_prepay]]=0,(tblLines[[#This Row],[Receipt_credit]]&gt;=tblLines[[#This Row],[sg_amount]])),tblLines[[#This Row],[Settled]],Summary!$B$2),"")</f>
        <v/>
      </c>
      <c r="AS11" s="11" t="str">
        <f>IF((tblLines[[#This Row],[Exposed]]=1),MIN(IF(Summary!$B$3="",DATE(2030,12,31),Summary!$B$3-1),IF(AND(tblLines[[#This Row],[Settled]]&lt;&gt;"",tblLines[[#This Row],[Stale_prepay]]=0,(tblLines[[#This Row],[Receipt_credit]]&gt;=tblLines[[#This Row],[sg_amount]]),tblLines[[#This Row],[Final_shortfall]]=0),tblLines[[#This Row],[Settled]],Summary!$B$2)),"")</f>
        <v/>
      </c>
      <c r="AT11" s="9" t="str">
        <f>IF((tblLines[[#This Row],[Exposed]]=1),IF(tblLines[[#This Row],[Past_horizon]]=1,"",MAX(tblLines[[#This Row],[Outstanding_to]]-tblLines[[#This Row],[Final_due]],0)),"")</f>
        <v/>
      </c>
      <c r="AU11"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11" s="9" t="str">
        <f>IF((tblLines[[#This Row],[Exposed]]=1),IF(tblLines[[#This Row],[NEC_end]]&gt;Summary!$B$7,1,0),"")</f>
        <v/>
      </c>
      <c r="AW11" s="10" t="str">
        <f>IF((tblLines[[#This Row],[Exposed]]=1),ROUND(tblLines[[#This Row],[Final_shortfall]],2),"")</f>
        <v/>
      </c>
      <c r="AX11" s="10" t="str">
        <f>IF((tblLines[[#This Row],[Exposed]]=1),ROUND(tblLines[[#This Row],[NEC]],2),"")</f>
        <v/>
      </c>
      <c r="AY11" s="10" t="str">
        <f>IF((tblLines[[#This Row],[Exposed]]=1),0,"")</f>
        <v/>
      </c>
      <c r="AZ11" s="10" t="str">
        <f>IF((tblLines[[#This Row],[Exposed]]=1),ROUND(0.6*(tblLines[[#This Row],[Final_shortfall]]+tblLines[[#This Row],[NEC]]),2),"")</f>
        <v/>
      </c>
      <c r="BA11" s="10" t="str">
        <f>IF((tblLines[[#This Row],[Exposed]]=1),tblLines[[#This Row],[Shortfall_r]]+tblLines[[#This Row],[NEC_r]]+tblLines[[#This Row],[Uplift_best]],"")</f>
        <v/>
      </c>
      <c r="BB11" s="10" t="str">
        <f>IF((tblLines[[#This Row],[Exposed]]=1),tblLines[[#This Row],[Shortfall_r]]+tblLines[[#This Row],[NEC_r]]+tblLines[[#This Row],[Uplift_worst]],"")</f>
        <v/>
      </c>
      <c r="BC11"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11" s="9">
        <f>IF(tblLines[[#This Row],[Settled]]&lt;&gt;"",1,0)</f>
        <v>1</v>
      </c>
      <c r="BE11" s="9">
        <f>IF(AND(tblLines[[#This Row],[Verdict]]&lt;&gt;"",tblLines[[#This Row],[Verdict]]&lt;&gt;"SKIPPED",ISNUMBER(tblLines[[#This Row],[sg_amount]]),tblLines[[#This Row],[sg_amount]]&gt;0),1,0)</f>
        <v>1</v>
      </c>
      <c r="BF11"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11" s="9">
        <f t="array" ref="BG11">IF(COUNTIF(tblLines[employee_id],tblLines[[#This Row],[employee_id]])&gt;SUMPRODUCT(--EXACT(tblLines[employee_id],tblLines[[#This Row],[employee_id]])),1,0)</f>
        <v>0</v>
      </c>
      <c r="BH11" s="9">
        <f>IF(AND(ISNUMBER(MATCH(tblLines[[#This Row],[employee_id]],{"EMP001","EMP002","EMP003","EMP004","EMP005","EMP006","EMP007","EMP001","EMP002","EMP005"},0)),ISNUMBER(MATCH(tblLines[[#This Row],[payment_date]],{46212,46212,46212,46212,46212,46218,46212,46226,46226,46226},0))),1,0)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78</v>
      </c>
      <c r="B1" s="5" t="s">
        <v>79</v>
      </c>
      <c r="C1" s="5" t="s">
        <v>80</v>
      </c>
      <c r="D1" s="5" t="s">
        <v>81</v>
      </c>
      <c r="E1" s="5" t="s">
        <v>82</v>
      </c>
      <c r="F1" s="5" t="s">
        <v>83</v>
      </c>
    </row>
    <row r="2" spans="1:6" x14ac:dyDescent="0.25">
      <c r="A2" t="s">
        <v>84</v>
      </c>
      <c r="B2" t="s">
        <v>85</v>
      </c>
      <c r="D2">
        <v>0</v>
      </c>
      <c r="E2">
        <v>0</v>
      </c>
      <c r="F2">
        <v>0</v>
      </c>
    </row>
    <row r="3" spans="1:6" x14ac:dyDescent="0.25">
      <c r="A3" t="s">
        <v>86</v>
      </c>
      <c r="B3" t="s">
        <v>87</v>
      </c>
      <c r="D3">
        <v>0</v>
      </c>
      <c r="E3">
        <v>0</v>
      </c>
      <c r="F3">
        <v>0</v>
      </c>
    </row>
    <row r="4" spans="1:6" x14ac:dyDescent="0.25">
      <c r="A4" t="s">
        <v>88</v>
      </c>
      <c r="B4" t="s">
        <v>89</v>
      </c>
      <c r="D4">
        <v>1</v>
      </c>
      <c r="E4">
        <v>0</v>
      </c>
      <c r="F4">
        <v>0</v>
      </c>
    </row>
    <row r="5" spans="1:6" x14ac:dyDescent="0.25">
      <c r="A5" t="s">
        <v>90</v>
      </c>
      <c r="B5" t="s">
        <v>87</v>
      </c>
      <c r="D5">
        <v>1</v>
      </c>
      <c r="E5">
        <v>0</v>
      </c>
      <c r="F5">
        <v>0</v>
      </c>
    </row>
    <row r="6" spans="1:6" x14ac:dyDescent="0.25">
      <c r="A6" t="s">
        <v>91</v>
      </c>
      <c r="B6" t="s">
        <v>87</v>
      </c>
      <c r="C6" t="s">
        <v>92</v>
      </c>
      <c r="D6">
        <v>1</v>
      </c>
      <c r="E6">
        <v>0</v>
      </c>
      <c r="F6">
        <v>0</v>
      </c>
    </row>
    <row r="7" spans="1:6" x14ac:dyDescent="0.25">
      <c r="A7" t="s">
        <v>93</v>
      </c>
      <c r="B7" t="s">
        <v>94</v>
      </c>
      <c r="D7">
        <v>1</v>
      </c>
      <c r="E7">
        <v>0</v>
      </c>
      <c r="F7">
        <v>1</v>
      </c>
    </row>
    <row r="8" spans="1:6" x14ac:dyDescent="0.25">
      <c r="A8" t="s">
        <v>95</v>
      </c>
      <c r="B8" t="s">
        <v>87</v>
      </c>
      <c r="D8">
        <v>0</v>
      </c>
      <c r="E8">
        <v>1</v>
      </c>
      <c r="F8">
        <v>0</v>
      </c>
    </row>
    <row r="9" spans="1:6" x14ac:dyDescent="0.25">
      <c r="A9" t="s">
        <v>96</v>
      </c>
      <c r="B9" t="s">
        <v>87</v>
      </c>
      <c r="C9" t="s">
        <v>97</v>
      </c>
      <c r="D9">
        <v>0</v>
      </c>
      <c r="E9">
        <v>1</v>
      </c>
      <c r="F9">
        <v>0</v>
      </c>
    </row>
    <row r="10" spans="1:6" x14ac:dyDescent="0.25">
      <c r="A10" t="s">
        <v>98</v>
      </c>
      <c r="B10" t="s">
        <v>99</v>
      </c>
      <c r="D10">
        <v>0</v>
      </c>
      <c r="E10">
        <v>1</v>
      </c>
      <c r="F10">
        <v>1</v>
      </c>
    </row>
    <row r="11" spans="1:6" x14ac:dyDescent="0.25">
      <c r="A11" t="s">
        <v>100</v>
      </c>
      <c r="B11" t="s">
        <v>87</v>
      </c>
      <c r="C11" t="s">
        <v>101</v>
      </c>
      <c r="D11">
        <v>0</v>
      </c>
      <c r="E11">
        <v>0</v>
      </c>
      <c r="F11">
        <v>0</v>
      </c>
    </row>
    <row r="12" spans="1:6" x14ac:dyDescent="0.25">
      <c r="A12" t="s">
        <v>102</v>
      </c>
      <c r="B12" t="s">
        <v>87</v>
      </c>
      <c r="C12" t="s">
        <v>97</v>
      </c>
      <c r="D12">
        <v>0</v>
      </c>
      <c r="E12">
        <v>0</v>
      </c>
      <c r="F12">
        <v>0</v>
      </c>
    </row>
    <row r="13" spans="1:6" x14ac:dyDescent="0.25">
      <c r="A13" t="s">
        <v>103</v>
      </c>
      <c r="B13" t="s">
        <v>87</v>
      </c>
      <c r="C13" t="s">
        <v>104</v>
      </c>
      <c r="D13">
        <v>0</v>
      </c>
      <c r="E13">
        <v>0</v>
      </c>
      <c r="F13">
        <v>0</v>
      </c>
    </row>
    <row r="14" spans="1:6" x14ac:dyDescent="0.25">
      <c r="A14" t="s">
        <v>105</v>
      </c>
      <c r="B14" t="s">
        <v>87</v>
      </c>
      <c r="C14" t="s">
        <v>101</v>
      </c>
      <c r="D14">
        <v>0</v>
      </c>
      <c r="E14">
        <v>0</v>
      </c>
      <c r="F14">
        <v>0</v>
      </c>
    </row>
    <row r="15" spans="1:6" x14ac:dyDescent="0.25">
      <c r="A15" t="s">
        <v>106</v>
      </c>
      <c r="B15" t="s">
        <v>87</v>
      </c>
      <c r="C15" t="s">
        <v>97</v>
      </c>
      <c r="D15">
        <v>0</v>
      </c>
      <c r="E15">
        <v>0</v>
      </c>
      <c r="F15">
        <v>0</v>
      </c>
    </row>
    <row r="16" spans="1:6" x14ac:dyDescent="0.25">
      <c r="A16" t="s">
        <v>107</v>
      </c>
      <c r="B16" t="s">
        <v>89</v>
      </c>
      <c r="D16">
        <v>1</v>
      </c>
      <c r="E16">
        <v>0</v>
      </c>
      <c r="F16">
        <v>0</v>
      </c>
    </row>
    <row r="17" spans="1:6" x14ac:dyDescent="0.25">
      <c r="A17" t="s">
        <v>108</v>
      </c>
      <c r="B17" t="s">
        <v>87</v>
      </c>
      <c r="C17" t="s">
        <v>92</v>
      </c>
      <c r="D17">
        <v>1</v>
      </c>
      <c r="E17">
        <v>0</v>
      </c>
      <c r="F17">
        <v>0</v>
      </c>
    </row>
    <row r="18" spans="1:6" x14ac:dyDescent="0.25">
      <c r="A18" t="s">
        <v>109</v>
      </c>
      <c r="B18" t="s">
        <v>94</v>
      </c>
      <c r="D18">
        <v>1</v>
      </c>
      <c r="E18">
        <v>0</v>
      </c>
      <c r="F18">
        <v>1</v>
      </c>
    </row>
    <row r="19" spans="1:6" x14ac:dyDescent="0.25">
      <c r="A19" t="s">
        <v>110</v>
      </c>
      <c r="B19" t="s">
        <v>87</v>
      </c>
      <c r="D19">
        <v>1</v>
      </c>
      <c r="E19">
        <v>0</v>
      </c>
      <c r="F19">
        <v>0</v>
      </c>
    </row>
    <row r="20" spans="1:6" x14ac:dyDescent="0.25">
      <c r="A20" t="s">
        <v>111</v>
      </c>
      <c r="B20" t="s">
        <v>99</v>
      </c>
      <c r="D20">
        <v>0</v>
      </c>
      <c r="E20">
        <v>0</v>
      </c>
      <c r="F20">
        <v>1</v>
      </c>
    </row>
    <row r="21" spans="1:6" x14ac:dyDescent="0.25">
      <c r="A21" t="s">
        <v>112</v>
      </c>
      <c r="B21" t="s">
        <v>87</v>
      </c>
      <c r="C21" t="s">
        <v>113</v>
      </c>
      <c r="D21">
        <v>0</v>
      </c>
      <c r="E21">
        <v>0</v>
      </c>
      <c r="F21">
        <v>0</v>
      </c>
    </row>
    <row r="22" spans="1:6" x14ac:dyDescent="0.25">
      <c r="A22" t="s">
        <v>114</v>
      </c>
      <c r="B22" t="s">
        <v>87</v>
      </c>
      <c r="C22" t="s">
        <v>113</v>
      </c>
      <c r="D22">
        <v>0</v>
      </c>
      <c r="E22">
        <v>0</v>
      </c>
      <c r="F22">
        <v>0</v>
      </c>
    </row>
    <row r="23" spans="1:6" x14ac:dyDescent="0.25">
      <c r="A23" t="s">
        <v>115</v>
      </c>
      <c r="B23" t="s">
        <v>116</v>
      </c>
      <c r="D23">
        <v>0</v>
      </c>
      <c r="E23">
        <v>0</v>
      </c>
      <c r="F23">
        <v>0</v>
      </c>
    </row>
    <row r="24" spans="1:6" x14ac:dyDescent="0.25">
      <c r="A24" t="s">
        <v>117</v>
      </c>
      <c r="B24" t="s">
        <v>99</v>
      </c>
      <c r="D24">
        <v>0</v>
      </c>
      <c r="E24">
        <v>0</v>
      </c>
      <c r="F24">
        <v>1</v>
      </c>
    </row>
    <row r="25" spans="1:6" x14ac:dyDescent="0.25">
      <c r="A25" t="s">
        <v>118</v>
      </c>
      <c r="B25" t="s">
        <v>87</v>
      </c>
      <c r="C25" t="s">
        <v>92</v>
      </c>
      <c r="D25">
        <v>0</v>
      </c>
      <c r="E25">
        <v>0</v>
      </c>
      <c r="F25">
        <v>0</v>
      </c>
    </row>
    <row r="26" spans="1:6" x14ac:dyDescent="0.25">
      <c r="A26" t="s">
        <v>119</v>
      </c>
      <c r="B26" t="s">
        <v>94</v>
      </c>
      <c r="D26">
        <v>0</v>
      </c>
      <c r="E26">
        <v>0</v>
      </c>
      <c r="F26">
        <v>1</v>
      </c>
    </row>
    <row r="27" spans="1:6" x14ac:dyDescent="0.25">
      <c r="A27" t="s">
        <v>120</v>
      </c>
      <c r="B27" t="s">
        <v>87</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121</v>
      </c>
      <c r="B1" s="5" t="s">
        <v>122</v>
      </c>
      <c r="C1" s="5" t="s">
        <v>123</v>
      </c>
    </row>
    <row r="2" spans="1:3" x14ac:dyDescent="0.25">
      <c r="A2" s="7">
        <v>46023</v>
      </c>
      <c r="B2" s="12" t="s">
        <v>124</v>
      </c>
      <c r="C2" s="12" t="s">
        <v>125</v>
      </c>
    </row>
    <row r="3" spans="1:3" x14ac:dyDescent="0.25">
      <c r="A3" s="7">
        <v>46048</v>
      </c>
      <c r="B3" s="12" t="s">
        <v>126</v>
      </c>
      <c r="C3" s="12" t="s">
        <v>125</v>
      </c>
    </row>
    <row r="4" spans="1:3" x14ac:dyDescent="0.25">
      <c r="A4" s="7">
        <v>46083</v>
      </c>
      <c r="B4" s="12" t="s">
        <v>127</v>
      </c>
      <c r="C4" s="12" t="s">
        <v>128</v>
      </c>
    </row>
    <row r="5" spans="1:3" x14ac:dyDescent="0.25">
      <c r="A5" s="7">
        <v>46090</v>
      </c>
      <c r="B5" s="12" t="s">
        <v>129</v>
      </c>
      <c r="C5" s="12" t="s">
        <v>130</v>
      </c>
    </row>
    <row r="6" spans="1:3" x14ac:dyDescent="0.25">
      <c r="A6" s="7">
        <v>46115</v>
      </c>
      <c r="B6" s="12" t="s">
        <v>131</v>
      </c>
      <c r="C6" s="12" t="s">
        <v>125</v>
      </c>
    </row>
    <row r="7" spans="1:3" x14ac:dyDescent="0.25">
      <c r="A7" s="7">
        <v>46116</v>
      </c>
      <c r="B7" s="12" t="s">
        <v>132</v>
      </c>
      <c r="C7" s="12" t="s">
        <v>133</v>
      </c>
    </row>
    <row r="8" spans="1:3" x14ac:dyDescent="0.25">
      <c r="A8" s="7">
        <v>46117</v>
      </c>
      <c r="B8" s="12" t="s">
        <v>134</v>
      </c>
      <c r="C8" s="12" t="s">
        <v>135</v>
      </c>
    </row>
    <row r="9" spans="1:3" x14ac:dyDescent="0.25">
      <c r="A9" s="7">
        <v>46118</v>
      </c>
      <c r="B9" s="12" t="s">
        <v>136</v>
      </c>
      <c r="C9" s="12" t="s">
        <v>125</v>
      </c>
    </row>
    <row r="10" spans="1:3" x14ac:dyDescent="0.25">
      <c r="A10" s="7">
        <v>46137</v>
      </c>
      <c r="B10" s="12" t="s">
        <v>137</v>
      </c>
      <c r="C10" s="12" t="s">
        <v>125</v>
      </c>
    </row>
    <row r="11" spans="1:3" x14ac:dyDescent="0.25">
      <c r="A11" s="7">
        <v>46139</v>
      </c>
      <c r="B11" s="12" t="s">
        <v>138</v>
      </c>
      <c r="C11" s="12" t="s">
        <v>139</v>
      </c>
    </row>
    <row r="12" spans="1:3" x14ac:dyDescent="0.25">
      <c r="A12" s="7">
        <v>46146</v>
      </c>
      <c r="B12" s="12" t="s">
        <v>140</v>
      </c>
      <c r="C12" s="12" t="s">
        <v>141</v>
      </c>
    </row>
    <row r="13" spans="1:3" x14ac:dyDescent="0.25">
      <c r="A13" s="7">
        <v>46174</v>
      </c>
      <c r="B13" s="12" t="s">
        <v>142</v>
      </c>
      <c r="C13" s="12" t="s">
        <v>143</v>
      </c>
    </row>
    <row r="14" spans="1:3" x14ac:dyDescent="0.25">
      <c r="A14" s="7">
        <v>46181</v>
      </c>
      <c r="B14" s="12" t="s">
        <v>144</v>
      </c>
      <c r="C14" s="12" t="s">
        <v>145</v>
      </c>
    </row>
    <row r="15" spans="1:3" x14ac:dyDescent="0.25">
      <c r="A15" s="7">
        <v>46237</v>
      </c>
      <c r="B15" s="12" t="s">
        <v>146</v>
      </c>
      <c r="C15" s="12" t="s">
        <v>147</v>
      </c>
    </row>
    <row r="16" spans="1:3" x14ac:dyDescent="0.25">
      <c r="A16" s="7">
        <v>46290</v>
      </c>
      <c r="B16" s="12" t="s">
        <v>148</v>
      </c>
      <c r="C16" s="12" t="s">
        <v>149</v>
      </c>
    </row>
    <row r="17" spans="1:3" x14ac:dyDescent="0.25">
      <c r="A17" s="7">
        <v>46300</v>
      </c>
      <c r="B17" s="12" t="s">
        <v>150</v>
      </c>
      <c r="C17" s="12" t="s">
        <v>151</v>
      </c>
    </row>
    <row r="18" spans="1:3" x14ac:dyDescent="0.25">
      <c r="A18" s="7">
        <v>46381</v>
      </c>
      <c r="B18" s="12" t="s">
        <v>152</v>
      </c>
      <c r="C18" s="12" t="s">
        <v>125</v>
      </c>
    </row>
    <row r="19" spans="1:3" x14ac:dyDescent="0.25">
      <c r="A19" s="7">
        <v>46382</v>
      </c>
      <c r="B19" s="12" t="s">
        <v>153</v>
      </c>
      <c r="C19" s="12" t="s">
        <v>135</v>
      </c>
    </row>
    <row r="20" spans="1:3" x14ac:dyDescent="0.25">
      <c r="A20" s="7">
        <v>46384</v>
      </c>
      <c r="B20" s="12" t="s">
        <v>154</v>
      </c>
      <c r="C20" s="12" t="s">
        <v>125</v>
      </c>
    </row>
    <row r="21" spans="1:3" x14ac:dyDescent="0.25">
      <c r="A21" s="7">
        <v>46388</v>
      </c>
      <c r="B21" s="12" t="s">
        <v>124</v>
      </c>
      <c r="C21" s="12" t="s">
        <v>125</v>
      </c>
    </row>
    <row r="22" spans="1:3" x14ac:dyDescent="0.25">
      <c r="A22" s="7">
        <v>46413</v>
      </c>
      <c r="B22" s="12" t="s">
        <v>126</v>
      </c>
      <c r="C22" s="12" t="s">
        <v>125</v>
      </c>
    </row>
    <row r="23" spans="1:3" x14ac:dyDescent="0.25">
      <c r="A23" s="7">
        <v>46447</v>
      </c>
      <c r="B23" s="12" t="s">
        <v>127</v>
      </c>
      <c r="C23" s="12" t="s">
        <v>128</v>
      </c>
    </row>
    <row r="24" spans="1:3" x14ac:dyDescent="0.25">
      <c r="A24" s="7">
        <v>46454</v>
      </c>
      <c r="B24" s="12" t="s">
        <v>129</v>
      </c>
      <c r="C24" s="12" t="s">
        <v>130</v>
      </c>
    </row>
    <row r="25" spans="1:3" x14ac:dyDescent="0.25">
      <c r="A25" s="7">
        <v>46472</v>
      </c>
      <c r="B25" s="12" t="s">
        <v>131</v>
      </c>
      <c r="C25" s="12" t="s">
        <v>125</v>
      </c>
    </row>
    <row r="26" spans="1:3" x14ac:dyDescent="0.25">
      <c r="A26" s="7">
        <v>46473</v>
      </c>
      <c r="B26" s="12" t="s">
        <v>132</v>
      </c>
      <c r="C26" s="12" t="s">
        <v>133</v>
      </c>
    </row>
    <row r="27" spans="1:3" x14ac:dyDescent="0.25">
      <c r="A27" s="7">
        <v>46474</v>
      </c>
      <c r="B27" s="12" t="s">
        <v>134</v>
      </c>
      <c r="C27" s="12" t="s">
        <v>135</v>
      </c>
    </row>
    <row r="28" spans="1:3" x14ac:dyDescent="0.25">
      <c r="A28" s="7">
        <v>46475</v>
      </c>
      <c r="B28" s="12" t="s">
        <v>136</v>
      </c>
      <c r="C28" s="12" t="s">
        <v>125</v>
      </c>
    </row>
    <row r="29" spans="1:3" x14ac:dyDescent="0.25">
      <c r="A29" s="7">
        <v>46502</v>
      </c>
      <c r="B29" s="12" t="s">
        <v>137</v>
      </c>
      <c r="C29" s="12" t="s">
        <v>155</v>
      </c>
    </row>
    <row r="30" spans="1:3" x14ac:dyDescent="0.25">
      <c r="A30" s="7">
        <v>46503</v>
      </c>
      <c r="B30" s="12" t="s">
        <v>156</v>
      </c>
      <c r="C30" s="12" t="s">
        <v>157</v>
      </c>
    </row>
    <row r="31" spans="1:3" x14ac:dyDescent="0.25">
      <c r="A31" s="7">
        <v>46510</v>
      </c>
      <c r="B31" s="12" t="s">
        <v>140</v>
      </c>
      <c r="C31" s="12" t="s">
        <v>141</v>
      </c>
    </row>
    <row r="32" spans="1:3" x14ac:dyDescent="0.25">
      <c r="A32" s="7">
        <v>46538</v>
      </c>
      <c r="B32" s="12" t="s">
        <v>158</v>
      </c>
      <c r="C32" s="12" t="s">
        <v>159</v>
      </c>
    </row>
    <row r="33" spans="1:3" x14ac:dyDescent="0.25">
      <c r="A33" s="7">
        <v>46545</v>
      </c>
      <c r="B33" s="12" t="s">
        <v>160</v>
      </c>
      <c r="C33" s="12" t="s">
        <v>128</v>
      </c>
    </row>
    <row r="34" spans="1:3" x14ac:dyDescent="0.25">
      <c r="A34" s="7">
        <v>46552</v>
      </c>
      <c r="B34" s="12" t="s">
        <v>144</v>
      </c>
      <c r="C34" s="12" t="s">
        <v>145</v>
      </c>
    </row>
    <row r="35" spans="1:3" x14ac:dyDescent="0.25">
      <c r="A35" s="7">
        <v>46601</v>
      </c>
      <c r="B35" s="12" t="s">
        <v>146</v>
      </c>
      <c r="C35" s="12" t="s">
        <v>147</v>
      </c>
    </row>
    <row r="36" spans="1:3" x14ac:dyDescent="0.25">
      <c r="A36" s="7">
        <v>46664</v>
      </c>
      <c r="B36" s="12" t="s">
        <v>150</v>
      </c>
      <c r="C36" s="12" t="s">
        <v>151</v>
      </c>
    </row>
    <row r="37" spans="1:3" x14ac:dyDescent="0.25">
      <c r="A37" s="7">
        <v>46746</v>
      </c>
      <c r="B37" s="12" t="s">
        <v>152</v>
      </c>
      <c r="C37" s="12" t="s">
        <v>125</v>
      </c>
    </row>
    <row r="38" spans="1:3" x14ac:dyDescent="0.25">
      <c r="A38" s="7">
        <v>46747</v>
      </c>
      <c r="B38" s="12" t="s">
        <v>153</v>
      </c>
      <c r="C38" s="12" t="s">
        <v>135</v>
      </c>
    </row>
    <row r="39" spans="1:3" x14ac:dyDescent="0.25">
      <c r="A39" s="7">
        <v>46748</v>
      </c>
      <c r="B39" s="12" t="s">
        <v>161</v>
      </c>
      <c r="C39" s="12" t="s">
        <v>125</v>
      </c>
    </row>
    <row r="40" spans="1:3" x14ac:dyDescent="0.25">
      <c r="A40" s="7">
        <v>46749</v>
      </c>
      <c r="B40" s="12" t="s">
        <v>154</v>
      </c>
      <c r="C40" s="12" t="s">
        <v>125</v>
      </c>
    </row>
    <row r="43" spans="1:3" x14ac:dyDescent="0.25">
      <c r="A43" t="s">
        <v>162</v>
      </c>
    </row>
    <row r="44" spans="1:3" x14ac:dyDescent="0.25">
      <c r="A44" t="s">
        <v>163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1"/>
  <sheetViews>
    <sheetView workbookViewId="0"/>
  </sheetViews>
  <sheetFormatPr defaultRowHeight="15" x14ac:dyDescent="0.25"/>
  <cols>
    <col min="6" max="6" width="14" customWidth="1"/>
  </cols>
  <sheetData>
    <row r="1" spans="1:6" x14ac:dyDescent="0.25">
      <c r="A1" s="5" t="s">
        <v>164</v>
      </c>
      <c r="B1" s="5" t="s">
        <v>165</v>
      </c>
      <c r="C1" s="5" t="s">
        <v>166</v>
      </c>
      <c r="D1" s="5" t="s">
        <v>167</v>
      </c>
      <c r="E1" s="5" t="s">
        <v>168</v>
      </c>
      <c r="F1" s="5" t="s">
        <v>169</v>
      </c>
    </row>
    <row r="2" spans="1:6" x14ac:dyDescent="0.25">
      <c r="A2" s="7">
        <v>46113</v>
      </c>
      <c r="B2" s="7">
        <v>46203</v>
      </c>
      <c r="C2" s="12">
        <v>10.96</v>
      </c>
      <c r="D2" s="12">
        <v>365</v>
      </c>
      <c r="E2" s="12" t="s">
        <v>170</v>
      </c>
      <c r="F2" s="12" t="s">
        <v>171</v>
      </c>
    </row>
    <row r="3" spans="1:6" x14ac:dyDescent="0.25">
      <c r="A3" s="7">
        <v>46204</v>
      </c>
      <c r="B3" s="7">
        <v>46295</v>
      </c>
      <c r="C3" s="12">
        <v>11.43</v>
      </c>
      <c r="D3" s="12">
        <v>365</v>
      </c>
      <c r="E3" s="12" t="s">
        <v>170</v>
      </c>
      <c r="F3" s="12" t="s">
        <v>171</v>
      </c>
    </row>
    <row r="4" spans="1:6" x14ac:dyDescent="0.25">
      <c r="A4" s="7">
        <v>46296</v>
      </c>
      <c r="B4" s="7">
        <v>46387</v>
      </c>
      <c r="C4" s="12">
        <v>11.43</v>
      </c>
      <c r="D4" s="12">
        <v>365</v>
      </c>
      <c r="E4" s="12" t="s">
        <v>172</v>
      </c>
      <c r="F4" s="12"/>
    </row>
    <row r="5" spans="1:6" x14ac:dyDescent="0.25">
      <c r="A5" s="7">
        <v>46388</v>
      </c>
      <c r="B5" s="7">
        <v>46752</v>
      </c>
      <c r="C5" s="12">
        <v>11.43</v>
      </c>
      <c r="D5" s="12">
        <v>365</v>
      </c>
      <c r="E5" s="12" t="s">
        <v>172</v>
      </c>
      <c r="F5" s="12"/>
    </row>
    <row r="6" spans="1:6" x14ac:dyDescent="0.25">
      <c r="A6" s="7">
        <v>46753</v>
      </c>
      <c r="B6" s="7">
        <v>47118</v>
      </c>
      <c r="C6" s="12">
        <v>11.43</v>
      </c>
      <c r="D6" s="12">
        <v>366</v>
      </c>
      <c r="E6" s="12" t="s">
        <v>172</v>
      </c>
      <c r="F6" s="12"/>
    </row>
    <row r="7" spans="1:6" x14ac:dyDescent="0.25">
      <c r="A7" s="7">
        <v>47119</v>
      </c>
      <c r="B7" s="7">
        <v>47483</v>
      </c>
      <c r="C7" s="12">
        <v>11.43</v>
      </c>
      <c r="D7" s="12">
        <v>365</v>
      </c>
      <c r="E7" s="12" t="s">
        <v>172</v>
      </c>
      <c r="F7" s="12"/>
    </row>
    <row r="8" spans="1:6" x14ac:dyDescent="0.25">
      <c r="A8" s="7">
        <v>47484</v>
      </c>
      <c r="B8" s="7">
        <v>47848</v>
      </c>
      <c r="C8" s="12">
        <v>11.43</v>
      </c>
      <c r="D8" s="12">
        <v>365</v>
      </c>
      <c r="E8" s="12" t="s">
        <v>172</v>
      </c>
      <c r="F8" s="12"/>
    </row>
    <row r="11" spans="1:6" x14ac:dyDescent="0.25">
      <c r="A11" t="s">
        <v>173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4"/>
  <sheetViews>
    <sheetView workbookViewId="0"/>
  </sheetViews>
  <sheetFormatPr defaultRowHeight="15" x14ac:dyDescent="0.25"/>
  <cols>
    <col min="1" max="1" width="64" customWidth="1"/>
    <col min="2" max="2" width="18" customWidth="1"/>
  </cols>
  <sheetData>
    <row r="1" spans="1:2" x14ac:dyDescent="0.25">
      <c r="A1" s="5" t="s">
        <v>174</v>
      </c>
      <c r="B1" s="5"/>
    </row>
    <row r="2" spans="1:2" x14ac:dyDescent="0.25">
      <c r="A2" t="s">
        <v>175</v>
      </c>
      <c r="B2" s="13">
        <v>46244</v>
      </c>
    </row>
    <row r="3" spans="1:2" x14ac:dyDescent="0.25">
      <c r="A3" t="s">
        <v>176</v>
      </c>
      <c r="B3" s="13"/>
    </row>
    <row r="4" spans="1:2" x14ac:dyDescent="0.25">
      <c r="A4" t="s">
        <v>177</v>
      </c>
      <c r="B4" s="14" t="s">
        <v>178</v>
      </c>
    </row>
    <row r="5" spans="1:2" x14ac:dyDescent="0.25">
      <c r="A5" t="s">
        <v>179</v>
      </c>
      <c r="B5" s="14" t="s">
        <v>178</v>
      </c>
    </row>
    <row r="6" spans="1:2" x14ac:dyDescent="0.25">
      <c r="A6" t="s">
        <v>180</v>
      </c>
      <c r="B6" s="13">
        <v>46630</v>
      </c>
    </row>
    <row r="7" spans="1:2" x14ac:dyDescent="0.25">
      <c r="A7" t="s">
        <v>181</v>
      </c>
      <c r="B7" s="11">
        <f>_xlfn.MAXIFS(tblGic[to],tblGic[basis],"known")</f>
        <v>46295</v>
      </c>
    </row>
    <row r="9" spans="1:2" x14ac:dyDescent="0.25">
      <c r="A9" s="5" t="s">
        <v>182</v>
      </c>
      <c r="B9" s="5"/>
    </row>
    <row r="10" spans="1:2" x14ac:dyDescent="0.25">
      <c r="A10" t="s">
        <v>89</v>
      </c>
      <c r="B10" s="9">
        <f>COUNTIF(tblLines[Verdict],"ON_TIME")</f>
        <v>5</v>
      </c>
    </row>
    <row r="11" spans="1:2" x14ac:dyDescent="0.25">
      <c r="A11" t="s">
        <v>116</v>
      </c>
      <c r="B11" s="9">
        <f>COUNTIF(tblLines[Verdict],"AT_RISK")</f>
        <v>1</v>
      </c>
    </row>
    <row r="12" spans="1:2" x14ac:dyDescent="0.25">
      <c r="A12" t="s">
        <v>99</v>
      </c>
      <c r="B12" s="9">
        <f>COUNTIF(tblLines[Verdict],"LATE")</f>
        <v>2</v>
      </c>
    </row>
    <row r="13" spans="1:2" x14ac:dyDescent="0.25">
      <c r="A13" t="s">
        <v>94</v>
      </c>
      <c r="B13" s="9">
        <f>COUNTIF(tblLines[Verdict],"UNPAID")</f>
        <v>1</v>
      </c>
    </row>
    <row r="14" spans="1:2" x14ac:dyDescent="0.25">
      <c r="A14" t="s">
        <v>87</v>
      </c>
      <c r="B14" s="9">
        <f>COUNTIF(tblLines[Verdict],"UNKNOWN")</f>
        <v>0</v>
      </c>
    </row>
    <row r="15" spans="1:2" x14ac:dyDescent="0.25">
      <c r="A15" t="s">
        <v>85</v>
      </c>
      <c r="B15" s="9">
        <f>COUNTIF(tblLines[Verdict],"SKIPPED")</f>
        <v>1</v>
      </c>
    </row>
    <row r="16" spans="1:2" x14ac:dyDescent="0.25">
      <c r="A16" t="s">
        <v>183</v>
      </c>
      <c r="B16" s="9">
        <f>SUM(tblLines[Exposed])</f>
        <v>3</v>
      </c>
    </row>
    <row r="17" spans="1:2" x14ac:dyDescent="0.25">
      <c r="A17" t="s">
        <v>184</v>
      </c>
      <c r="B17" s="10">
        <f>ROUND(SUM(tblLines[Shortfall_r]),2)</f>
        <v>780</v>
      </c>
    </row>
    <row r="18" spans="1:2" x14ac:dyDescent="0.25">
      <c r="A18" t="s">
        <v>185</v>
      </c>
      <c r="B18" s="10">
        <f>ROUND(SUM(tblLines[NEC_r]),2)</f>
        <v>8.07</v>
      </c>
    </row>
    <row r="19" spans="1:2" x14ac:dyDescent="0.25">
      <c r="A19" t="s">
        <v>186</v>
      </c>
      <c r="B19" s="10">
        <f>ROUND(SUM(tblLines[SGC_low]),2)</f>
        <v>788.07</v>
      </c>
    </row>
    <row r="20" spans="1:2" x14ac:dyDescent="0.25">
      <c r="A20" t="s">
        <v>187</v>
      </c>
      <c r="B20" s="10">
        <f>ROUND(SUM(tblLines[SGC_high]),2)</f>
        <v>1260.92</v>
      </c>
    </row>
    <row r="21" spans="1:2" x14ac:dyDescent="0.25">
      <c r="A21" t="s">
        <v>188</v>
      </c>
      <c r="B21" s="9">
        <f>SUMPRODUCT(--(tblLines[Unassessable_between]&lt;&gt;""))</f>
        <v>0</v>
      </c>
    </row>
    <row r="22" spans="1:2" x14ac:dyDescent="0.25">
      <c r="A22" t="s">
        <v>189</v>
      </c>
      <c r="B22" s="9"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190</v>
      </c>
      <c r="B1" s="5" t="s">
        <v>191</v>
      </c>
      <c r="C1" s="5" t="s">
        <v>192</v>
      </c>
      <c r="D1" s="5" t="s">
        <v>193</v>
      </c>
    </row>
    <row r="2" spans="1:4" x14ac:dyDescent="0.25">
      <c r="A2" t="s">
        <v>194</v>
      </c>
      <c r="B2" s="9" t="str">
        <f>IF(C2=0,"PASS","BLOCKED")</f>
        <v>PASS</v>
      </c>
      <c r="C2" s="9">
        <f>SUMPRODUCT(--(tblLines[Row_problem]&lt;&gt;""))</f>
        <v>0</v>
      </c>
      <c r="D2" s="9" t="str">
        <f t="array" ref="D2">IF(C2=0,"",INDEX(tblLines[employee_id],SUMPRODUCT(MAX((tblLines[Row_problem]&lt;&gt;"")*(ROW(tblLines[employee_id])-1)))))</f>
        <v/>
      </c>
    </row>
    <row r="3" spans="1:4" x14ac:dyDescent="0.25">
      <c r="A3" t="s">
        <v>195</v>
      </c>
      <c r="B3" s="9" t="str">
        <f>IF(C3=0,"PASS","BLOCKED")</f>
        <v>PASS</v>
      </c>
      <c r="C3" s="9">
        <f>SUM(tblLines[Guard])</f>
        <v>0</v>
      </c>
      <c r="D3" s="9" t="str">
        <f t="array" ref="D3">IF(C3=0,"",INDEX(tblLines[employee_id],SUMPRODUCT(MAX((tblLines[Guard]=1)*(ROW(tblLines[employee_id])-1)))))</f>
        <v/>
      </c>
    </row>
    <row r="4" spans="1:4" x14ac:dyDescent="0.25">
      <c r="A4" t="s">
        <v>196</v>
      </c>
      <c r="B4" s="9" t="str">
        <f>IF(OR(C4=0,Summary!$B$4="Y"),"PASS","BLOCKED")</f>
        <v>BLOCKED</v>
      </c>
      <c r="C4" s="9">
        <f>SUM(tblLines[Transition_row])</f>
        <v>2</v>
      </c>
      <c r="D4" s="9" t="str">
        <f t="array" ref="D4">IF(C4=0,"",INDEX(tblLines[employee_id],SUMPRODUCT(MAX((tblLines[Transition_row]=1)*(ROW(tblLines[employee_id])-1)))))</f>
        <v>EMP003</v>
      </c>
    </row>
    <row r="5" spans="1:4" x14ac:dyDescent="0.25">
      <c r="A5" t="s">
        <v>197</v>
      </c>
      <c r="B5" s="9" t="str">
        <f>IF(C5=0,"PASS","REVIEW")</f>
        <v>REVIEW</v>
      </c>
      <c r="C5" s="9">
        <f>SUM(tblLines[Exposed])</f>
        <v>3</v>
      </c>
      <c r="D5" s="9" t="str">
        <f t="array" ref="D5">IF(C5=0,"",INDEX(tblLines[employee_id],SUMPRODUCT(MAX((tblLines[Exposed]=1)*(ROW(tblLines[employee_id])-1)))))</f>
        <v>EMP001</v>
      </c>
    </row>
    <row r="6" spans="1:4" x14ac:dyDescent="0.25">
      <c r="A6" t="s">
        <v>198</v>
      </c>
      <c r="B6" s="9" t="str">
        <f>IF(C6=0,"PASS","REVIEW")</f>
        <v>PASS</v>
      </c>
      <c r="C6" s="9">
        <f>SUMPRODUCT(--(tblLines[Unassessable_between]&lt;&gt;""))</f>
        <v>0</v>
      </c>
      <c r="D6" s="9" t="str">
        <f t="array" ref="D6">IF(C6=0,"",INDEX(tblLines[employee_id],SUMPRODUCT(MAX((tblLines[Unassessable_between]&lt;&gt;"")*(ROW(tblLines[employee_id])-1)))))</f>
        <v/>
      </c>
    </row>
    <row r="7" spans="1:4" x14ac:dyDescent="0.25">
      <c r="A7" t="s">
        <v>199</v>
      </c>
      <c r="B7" s="9" t="str">
        <f>IF(OR(Summary!B22="NO",Summary!$B$5="Y"),"PASS","REVIEW")</f>
        <v>PASS</v>
      </c>
      <c r="C7" s="9" t="str">
        <f>Summary!B22</f>
        <v>NO</v>
      </c>
      <c r="D7" s="9"/>
    </row>
    <row r="8" spans="1:4" x14ac:dyDescent="0.25">
      <c r="A8" t="s">
        <v>200</v>
      </c>
      <c r="B8" s="9" t="str">
        <f>IF(C8=0,"PASS","NOTE")</f>
        <v>PASS</v>
      </c>
      <c r="C8" s="9">
        <f>SUM(tblLines[Past_horizon])</f>
        <v>0</v>
      </c>
      <c r="D8" s="9" t="str">
        <f t="array" ref="D8">IF(C8=0,"",INDEX(tblLines[employee_id],SUMPRODUCT(MAX((tblLines[Past_horizon]=1)*(ROW(tblLines[employee_id])-1)))))</f>
        <v/>
      </c>
    </row>
    <row r="9" spans="1:4" x14ac:dyDescent="0.25">
      <c r="A9" t="s">
        <v>201</v>
      </c>
      <c r="B9" s="9" t="str">
        <f>IF(C9=0,"PASS","NOTE")</f>
        <v>PASS</v>
      </c>
      <c r="C9" s="9">
        <f>SUM(tblLines[GIC_estimated])</f>
        <v>0</v>
      </c>
      <c r="D9" s="9" t="str">
        <f t="array" ref="D9">IF(C9=0,"",INDEX(tblLines[employee_id],SUMPRODUCT(MAX((tblLines[GIC_estimated]=1)*(ROW(tblLines[employee_id])-1)))))</f>
        <v/>
      </c>
    </row>
    <row r="10" spans="1:4" x14ac:dyDescent="0.25">
      <c r="A10" t="s">
        <v>202</v>
      </c>
      <c r="B10" s="9" t="str">
        <f>IF(C10=0,"PASS","NOTE")</f>
        <v>PASS</v>
      </c>
      <c r="C10" s="9">
        <f>SUM(tblLines[Duplicate])</f>
        <v>0</v>
      </c>
      <c r="D10" s="9" t="str">
        <f t="array" ref="D10">IF(C10=0,"",INDEX(tblLines[employee_id],SUMPRODUCT(MAX((tblLines[Duplicate]=1)*(ROW(tblLines[employee_id])-1)))))</f>
        <v/>
      </c>
    </row>
    <row r="11" spans="1:4" x14ac:dyDescent="0.25">
      <c r="A11" t="s">
        <v>203</v>
      </c>
      <c r="B11" s="9" t="str">
        <f>IF(C11=0,"PASS","NOTE")</f>
        <v>PASS</v>
      </c>
      <c r="C11" s="9">
        <f>COUNTIF(tblLines[Branch],"NIL")</f>
        <v>0</v>
      </c>
      <c r="D11" s="9" t="str">
        <f t="array" ref="D11">IF(C11=0,"",INDEX(tblLines[employee_id],SUMPRODUCT(MAX((tblLines[Branch]="NIL")*(ROW(tblLines[employee_id])-1)))))</f>
        <v/>
      </c>
    </row>
    <row r="12" spans="1:4" x14ac:dyDescent="0.25">
      <c r="A12" t="s">
        <v>204</v>
      </c>
      <c r="B12" s="9" t="str">
        <f>IF(AND(ISNUMBER(Summary!$B$2),OR(Summary!$B$3="",ISNUMBER(Summary!$B$3)),ISNUMBER(Summary!$B$6)),"PASS","BLOCKED")</f>
        <v>PASS</v>
      </c>
      <c r="C12" s="9">
        <f>Summary!$B$2</f>
        <v>46244</v>
      </c>
      <c r="D12" s="9"/>
    </row>
    <row r="13" spans="1:4" x14ac:dyDescent="0.25">
      <c r="A13" t="s">
        <v>205</v>
      </c>
      <c r="B13" s="9" t="str">
        <f>IF(C13=0,"PASS","REVIEW")</f>
        <v>REVIEW</v>
      </c>
      <c r="C13" s="9">
        <f>SUM(tblLines[Sample_row])</f>
        <v>10</v>
      </c>
      <c r="D13" s="9" t="str">
        <f t="array" ref="D13">IF(C13=0,"",INDEX(tblLines[employee_id],SUMPRODUCT(MAX((tblLines[Sample_row]=1)*(ROW(tblLines[employee_id])-1)))))</f>
        <v>EMP005</v>
      </c>
    </row>
    <row r="14" spans="1:4" x14ac:dyDescent="0.25">
      <c r="A14" t="s">
        <v>206</v>
      </c>
      <c r="B14" s="9" t="str">
        <f>IF(C14=0,"PASS","NOTE")</f>
        <v>PASS</v>
      </c>
      <c r="C14" s="9">
        <f>SUM(tblLines[Case_variant])</f>
        <v>0</v>
      </c>
      <c r="D14" s="9"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207</v>
      </c>
    </row>
    <row r="19" spans="1:1" ht="30" x14ac:dyDescent="0.25">
      <c r="A19" s="16" t="s">
        <v>208</v>
      </c>
    </row>
    <row r="20" spans="1:1" ht="45" x14ac:dyDescent="0.25">
      <c r="A20" s="16" t="s">
        <v>209</v>
      </c>
    </row>
    <row r="21" spans="1:1" ht="45" x14ac:dyDescent="0.25">
      <c r="A21" s="16" t="s">
        <v>210</v>
      </c>
    </row>
    <row r="22" spans="1:1" ht="30" x14ac:dyDescent="0.25">
      <c r="A22" s="16" t="s">
        <v>211</v>
      </c>
    </row>
    <row r="23" spans="1:1" ht="45" x14ac:dyDescent="0.25">
      <c r="A23" s="16" t="s">
        <v>212</v>
      </c>
    </row>
    <row r="24" spans="1:1" ht="45" x14ac:dyDescent="0.25">
      <c r="A24" s="16" t="s">
        <v>213</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214</v>
      </c>
      <c r="B1" s="5" t="s">
        <v>215</v>
      </c>
    </row>
    <row r="2" spans="1:2" x14ac:dyDescent="0.25">
      <c r="A2" t="s">
        <v>216</v>
      </c>
      <c r="B2" t="s">
        <v>217</v>
      </c>
    </row>
    <row r="3" spans="1:2" x14ac:dyDescent="0.25">
      <c r="A3" t="s">
        <v>218</v>
      </c>
      <c r="B3" t="s">
        <v>231</v>
      </c>
    </row>
    <row r="4" spans="1:2" x14ac:dyDescent="0.25">
      <c r="A4" t="s">
        <v>219</v>
      </c>
      <c r="B4" t="s">
        <v>220</v>
      </c>
    </row>
    <row r="5" spans="1:2" x14ac:dyDescent="0.25">
      <c r="A5" t="s">
        <v>221</v>
      </c>
      <c r="B5" t="s">
        <v>222</v>
      </c>
    </row>
    <row r="6" spans="1:2" x14ac:dyDescent="0.25">
      <c r="A6" t="s">
        <v>223</v>
      </c>
      <c r="B6" t="s">
        <v>224</v>
      </c>
    </row>
    <row r="7" spans="1:2" x14ac:dyDescent="0.25">
      <c r="A7" t="s">
        <v>225</v>
      </c>
      <c r="B7" t="s">
        <v>226</v>
      </c>
    </row>
    <row r="8" spans="1:2" x14ac:dyDescent="0.25">
      <c r="A8" t="s">
        <v>227</v>
      </c>
      <c r="B8" t="s">
        <v>228</v>
      </c>
    </row>
    <row r="9" spans="1:2" x14ac:dyDescent="0.25">
      <c r="A9" t="s">
        <v>229</v>
      </c>
      <c r="B9" t="s">
        <v>230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2026-09-12T14:54:09Z</dcterms:created>
  <dcterms:modified xsi:type="dcterms:W3CDTF">2026-09-12T14:54:10Z</dcterms:modified>
</cp:coreProperties>
</file>