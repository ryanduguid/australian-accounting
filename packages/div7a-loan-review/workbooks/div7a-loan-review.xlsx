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mc:AlternateContent>
  <xr:revisionPtr revIDLastSave="0" documentId="13_ncr:1_{BE97A878-B4CA-4B8D-9FBA-1A6F81E2BA99}" xr6:coauthVersionLast="47" xr6:coauthVersionMax="47" xr10:uidLastSave="{00000000-0000-0000-0000-000000000000}"/>
  <bookViews>
    <workbookView xWindow="-105" yWindow="-210" windowWidth="26010" windowHeight="21705" xr2:uid="{00000000-000D-0000-FFFF-FFFF00000000}"/>
  </bookViews>
  <sheets>
    <sheet name="Start Here" sheetId="1" r:id="rId1"/>
    <sheet name="Register" sheetId="2" r:id="rId2"/>
    <sheet name="Rates" sheetId="3" r:id="rId3"/>
    <sheet name="Summary" sheetId="4" r:id="rId4"/>
    <sheet name="Review Checks" sheetId="5" r:id="rId5"/>
    <sheet name="Sources &amp; Version" sheetId="6" r:id="rId6"/>
  </sheets>
  <definedNames>
    <definedName name="RateYears">tblRates[year_of_income]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5" l="1"/>
  <c r="B4" i="4"/>
  <c r="B3" i="4"/>
  <c r="AL9" i="2"/>
  <c r="P9" i="2" s="1"/>
  <c r="Q9" i="2" s="1"/>
  <c r="T9" i="2" s="1"/>
  <c r="AK9" i="2"/>
  <c r="AH9" i="2"/>
  <c r="U9" i="2"/>
  <c r="V9" i="2" s="1"/>
  <c r="W9" i="2" s="1"/>
  <c r="S9" i="2"/>
  <c r="R9" i="2"/>
  <c r="AL8" i="2"/>
  <c r="AK8" i="2"/>
  <c r="AJ8" i="2" s="1"/>
  <c r="AI8" i="2"/>
  <c r="AH8" i="2"/>
  <c r="W8" i="2"/>
  <c r="U8" i="2"/>
  <c r="V8" i="2" s="1"/>
  <c r="T8" i="2"/>
  <c r="S8" i="2"/>
  <c r="R8" i="2"/>
  <c r="O8" i="2"/>
  <c r="AL7" i="2"/>
  <c r="P7" i="2" s="1"/>
  <c r="Q7" i="2" s="1"/>
  <c r="T7" i="2" s="1"/>
  <c r="AK7" i="2"/>
  <c r="AH7" i="2"/>
  <c r="U7" i="2"/>
  <c r="V7" i="2" s="1"/>
  <c r="W7" i="2" s="1"/>
  <c r="S7" i="2"/>
  <c r="R7" i="2"/>
  <c r="AL6" i="2"/>
  <c r="P6" i="2" s="1"/>
  <c r="Q6" i="2" s="1"/>
  <c r="T6" i="2" s="1"/>
  <c r="AK6" i="2"/>
  <c r="AH6" i="2"/>
  <c r="U6" i="2"/>
  <c r="V6" i="2" s="1"/>
  <c r="W6" i="2" s="1"/>
  <c r="S6" i="2"/>
  <c r="R6" i="2"/>
  <c r="AL5" i="2"/>
  <c r="P5" i="2" s="1"/>
  <c r="Q5" i="2" s="1"/>
  <c r="T5" i="2" s="1"/>
  <c r="AK5" i="2"/>
  <c r="O5" i="2" s="1"/>
  <c r="AH5" i="2"/>
  <c r="U5" i="2"/>
  <c r="V5" i="2" s="1"/>
  <c r="W5" i="2" s="1"/>
  <c r="S5" i="2"/>
  <c r="R5" i="2"/>
  <c r="AL4" i="2"/>
  <c r="AK4" i="2"/>
  <c r="AH4" i="2"/>
  <c r="U4" i="2"/>
  <c r="V4" i="2" s="1"/>
  <c r="W4" i="2" s="1"/>
  <c r="S4" i="2"/>
  <c r="R4" i="2"/>
  <c r="P4" i="2"/>
  <c r="Q4" i="2" s="1"/>
  <c r="T4" i="2" s="1"/>
  <c r="AL3" i="2"/>
  <c r="AK3" i="2"/>
  <c r="AH3" i="2"/>
  <c r="U3" i="2"/>
  <c r="V3" i="2" s="1"/>
  <c r="W3" i="2" s="1"/>
  <c r="S3" i="2"/>
  <c r="R3" i="2"/>
  <c r="P3" i="2"/>
  <c r="Q3" i="2" s="1"/>
  <c r="T3" i="2" s="1"/>
  <c r="O3" i="2"/>
  <c r="AL2" i="2"/>
  <c r="AK2" i="2"/>
  <c r="AH2" i="2"/>
  <c r="U2" i="2"/>
  <c r="V2" i="2" s="1"/>
  <c r="W2" i="2" s="1"/>
  <c r="S2" i="2"/>
  <c r="R2" i="2"/>
  <c r="P8" i="2" l="1"/>
  <c r="C3" i="5"/>
  <c r="P2" i="2"/>
  <c r="Q2" i="2" s="1"/>
  <c r="T2" i="2" s="1"/>
  <c r="B4" i="5"/>
  <c r="AA8" i="2"/>
  <c r="AJ9" i="2"/>
  <c r="O9" i="2"/>
  <c r="AB8" i="2"/>
  <c r="Z8" i="2"/>
  <c r="X8" i="2"/>
  <c r="O7" i="2"/>
  <c r="AI7" i="2" s="1"/>
  <c r="AJ7" i="2"/>
  <c r="O6" i="2"/>
  <c r="AJ6" i="2"/>
  <c r="AI6" i="2"/>
  <c r="AJ5" i="2"/>
  <c r="AI5" i="2"/>
  <c r="Y5" i="2"/>
  <c r="Z5" i="2"/>
  <c r="AA5" i="2" s="1"/>
  <c r="X5" i="2"/>
  <c r="O4" i="2"/>
  <c r="AI4" i="2" s="1"/>
  <c r="AJ4" i="2"/>
  <c r="AI3" i="2"/>
  <c r="AJ3" i="2"/>
  <c r="Z3" i="2"/>
  <c r="AA3" i="2" s="1"/>
  <c r="X3" i="2"/>
  <c r="Y3" i="2"/>
  <c r="AJ2" i="2"/>
  <c r="O2" i="2"/>
  <c r="AI2" i="2" s="1"/>
  <c r="D3" i="5" a="1"/>
  <c r="D3" i="5" s="1"/>
  <c r="B3" i="5"/>
  <c r="AG8" i="2" l="1"/>
  <c r="C9" i="5"/>
  <c r="Q8" i="2"/>
  <c r="Y8" i="2"/>
  <c r="X9" i="2"/>
  <c r="AG9" i="2" s="1"/>
  <c r="Y9" i="2"/>
  <c r="Z9" i="2"/>
  <c r="AA9" i="2" s="1"/>
  <c r="AB9" i="2"/>
  <c r="AI9" i="2"/>
  <c r="C2" i="5" s="1"/>
  <c r="AC8" i="2"/>
  <c r="AD8" i="2"/>
  <c r="AE8" i="2"/>
  <c r="AF8" i="2"/>
  <c r="X7" i="2"/>
  <c r="Y7" i="2"/>
  <c r="Z7" i="2"/>
  <c r="AA7" i="2" s="1"/>
  <c r="AB7" i="2"/>
  <c r="AG7" i="2" s="1"/>
  <c r="X6" i="2"/>
  <c r="Y6" i="2"/>
  <c r="Z6" i="2"/>
  <c r="AA6" i="2" s="1"/>
  <c r="Y4" i="2"/>
  <c r="X4" i="2"/>
  <c r="Z4" i="2"/>
  <c r="AA4" i="2" s="1"/>
  <c r="AB4" i="2"/>
  <c r="AG4" i="2"/>
  <c r="Z2" i="2"/>
  <c r="AA2" i="2" s="1"/>
  <c r="X2" i="2"/>
  <c r="AB2" i="2" s="1"/>
  <c r="AG2" i="2" s="1"/>
  <c r="Y2" i="2"/>
  <c r="B7" i="4"/>
  <c r="B14" i="4"/>
  <c r="AB5" i="2"/>
  <c r="AG5" i="2" s="1"/>
  <c r="AB3" i="2"/>
  <c r="AG3" i="2" s="1"/>
  <c r="D9" i="5" l="1" a="1"/>
  <c r="D9" i="5" s="1"/>
  <c r="B9" i="5"/>
  <c r="AC9" i="2"/>
  <c r="AD9" i="2"/>
  <c r="AE9" i="2"/>
  <c r="AF9" i="2"/>
  <c r="AC7" i="2"/>
  <c r="AD7" i="2"/>
  <c r="AE7" i="2"/>
  <c r="AF7" i="2"/>
  <c r="AD4" i="2"/>
  <c r="AE4" i="2"/>
  <c r="AC4" i="2"/>
  <c r="AF4" i="2"/>
  <c r="B8" i="4"/>
  <c r="B9" i="4"/>
  <c r="C5" i="5"/>
  <c r="AF2" i="2"/>
  <c r="B11" i="4"/>
  <c r="C6" i="5"/>
  <c r="B10" i="4"/>
  <c r="AE2" i="2"/>
  <c r="AC2" i="2"/>
  <c r="AD2" i="2"/>
  <c r="B2" i="5"/>
  <c r="D2" i="5" a="1"/>
  <c r="D2" i="5" s="1"/>
  <c r="AF5" i="2"/>
  <c r="AE5" i="2"/>
  <c r="AC5" i="2"/>
  <c r="AD5" i="2"/>
  <c r="AF3" i="2"/>
  <c r="AE3" i="2"/>
  <c r="AC3" i="2"/>
  <c r="AD3" i="2"/>
  <c r="AB6" i="2"/>
  <c r="AG6" i="2" l="1"/>
  <c r="B13" i="4"/>
  <c r="C8" i="5"/>
  <c r="D5" i="5" a="1"/>
  <c r="D5" i="5" s="1"/>
  <c r="B5" i="5"/>
  <c r="D6" i="5" a="1"/>
  <c r="D6" i="5" s="1"/>
  <c r="B6" i="5"/>
  <c r="AF6" i="2"/>
  <c r="B15" i="4" s="1"/>
  <c r="AE6" i="2"/>
  <c r="AD6" i="2"/>
  <c r="AC6" i="2"/>
  <c r="C7" i="5"/>
  <c r="B12" i="4"/>
  <c r="B8" i="5" l="1"/>
  <c r="D8" i="5" a="1"/>
  <c r="D8" i="5" s="1"/>
  <c r="B7" i="5"/>
  <c r="B10" i="5" s="1"/>
  <c r="D7" i="5" a="1"/>
  <c r="D7" i="5" s="1"/>
  <c r="B17" i="4" l="1"/>
  <c r="A11" i="1"/>
</calcChain>
</file>

<file path=xl/sharedStrings.xml><?xml version="1.0" encoding="utf-8"?>
<sst xmlns="http://schemas.openxmlformats.org/spreadsheetml/2006/main" count="220" uniqueCount="153">
  <si>
    <t>Division 7A loan review: s 109N terms and s 109E minimum yearly repayment</t>
  </si>
  <si>
    <t>1. On Register, paste one amalgamated loan per row over the example rows, using the same columns as the CSV the command line tool reads. Booleans are true, false or unknown; a blank is unknown. Rates are fractions (8.77 per cent is 0.0877). Years are written 2026-27.</t>
  </si>
  <si>
    <t>2. On Summary, choose the year of income to review. The s 109N gate reads each loan's benchmark from the year the loan was made; the repayment uses the chosen year's rate.</t>
  </si>
  <si>
    <t>3. Read the calculated columns on Register: each s 109N(1) limb, the gate verdict, the s 109E(6) repayment, the shortfall and the experimental exposure. REFUSED and UNKNOWN are answers, never a number; the reason column says why.</t>
  </si>
  <si>
    <t>4. Review Checks: BLOCKED means the register cannot be read (a bad year label, a value that is not true, false or unknown, text where a number belongs, a formula pasted into an input, or no reviewed rate for the year). REVIEW means a loan is not on s 109N terms, a repayment is short, a row is undecided, or a repayment figure is refused (read the reason; refusal alone is not a breach). PASS means nothing exposed, nothing undecided.</t>
  </si>
  <si>
    <t>5. A rising benchmark rate raises the minimum yearly repayment on existing complying loans, not just on new ones: s 109E(6) uses the current year's rate.</t>
  </si>
  <si>
    <t>6. Experimental review aid. Not a Division 7A determination. The shortfall is not the dividend (s 109Y, s 109Q and s 109RB are not modelled) and s 109R is not applied.</t>
  </si>
  <si>
    <t>Overall status</t>
  </si>
  <si>
    <t>div7a-loan-review workbook, engine 0.3.1. Macro-free. Not advice; see DISCLAIMER.md in the repository.</t>
  </si>
  <si>
    <t>loan_id</t>
  </si>
  <si>
    <t>borrower_reference</t>
  </si>
  <si>
    <t>year_loan_made</t>
  </si>
  <si>
    <t>written_agreement</t>
  </si>
  <si>
    <t>terms_in_place_before_lodgment_day</t>
  </si>
  <si>
    <t>maximum_term_years</t>
  </si>
  <si>
    <t>secured_by_registered_mortgage_over_real_property</t>
  </si>
  <si>
    <t>security_coverage_at_first_made</t>
  </si>
  <si>
    <t>interest_rate_for_years_after_year_loan_made</t>
  </si>
  <si>
    <t>amalgamated_loan_unpaid_at_end_of_previous_year</t>
  </si>
  <si>
    <t>remaining_term_years</t>
  </si>
  <si>
    <t>payments_applied_during_the_year</t>
  </si>
  <si>
    <t>out_of_scope_reason</t>
  </si>
  <si>
    <t>year_of_income_being_tested</t>
  </si>
  <si>
    <t>Status</t>
  </si>
  <si>
    <t>Floor_year</t>
  </si>
  <si>
    <t>Floor_rate</t>
  </si>
  <si>
    <t>Limb_a_written</t>
  </si>
  <si>
    <t>Limb_lodgment</t>
  </si>
  <si>
    <t>Limb_b_rate</t>
  </si>
  <si>
    <t>Limb_secured</t>
  </si>
  <si>
    <t>Allowed_term_raw</t>
  </si>
  <si>
    <t>Limb_c_term</t>
  </si>
  <si>
    <t>Gate_verdict</t>
  </si>
  <si>
    <t>Max_term_allowed</t>
  </si>
  <si>
    <t>Term_used</t>
  </si>
  <si>
    <t>MYR_raw</t>
  </si>
  <si>
    <t>MYR_verdict</t>
  </si>
  <si>
    <t>MYR_reason</t>
  </si>
  <si>
    <t>MYR_required</t>
  </si>
  <si>
    <t>Shortfall</t>
  </si>
  <si>
    <t>Exposure</t>
  </si>
  <si>
    <t>Undecided</t>
  </si>
  <si>
    <t>Guard</t>
  </si>
  <si>
    <t>Input_problem</t>
  </si>
  <si>
    <t>Sample_row</t>
  </si>
  <si>
    <t>Year_made_text</t>
  </si>
  <si>
    <t>Year_tested_text</t>
  </si>
  <si>
    <t>L-101</t>
  </si>
  <si>
    <t>SYN-SHAREHOLDER-A</t>
  </si>
  <si>
    <t>2023-24</t>
  </si>
  <si>
    <t>true</t>
  </si>
  <si>
    <t>false</t>
  </si>
  <si>
    <t>unknown</t>
  </si>
  <si>
    <t>L-102</t>
  </si>
  <si>
    <t>SYN-ASSOCIATE-B</t>
  </si>
  <si>
    <t>2022-23</t>
  </si>
  <si>
    <t>L-103</t>
  </si>
  <si>
    <t>SYN-SHAREHOLDER-C</t>
  </si>
  <si>
    <t>2021-22</t>
  </si>
  <si>
    <t>L-104</t>
  </si>
  <si>
    <t>SYN-ASSOCIATE-D</t>
  </si>
  <si>
    <t>2024-25</t>
  </si>
  <si>
    <t>L-105</t>
  </si>
  <si>
    <t>SYN-SHAREHOLDER-E</t>
  </si>
  <si>
    <t>2019-20</t>
  </si>
  <si>
    <t>L-106</t>
  </si>
  <si>
    <t>SYN-ASSOCIATE-F</t>
  </si>
  <si>
    <t>2020-21</t>
  </si>
  <si>
    <t>L-107</t>
  </si>
  <si>
    <t>SYN-TRUST-G</t>
  </si>
  <si>
    <t>Unpaid present entitlement under s 109XA; sub-trust arrangement not reviewed by this engine</t>
  </si>
  <si>
    <t>L-108</t>
  </si>
  <si>
    <t>SYN-SHAREHOLDER-H</t>
  </si>
  <si>
    <t>1996-97</t>
  </si>
  <si>
    <t>year_of_income</t>
  </si>
  <si>
    <t>rate</t>
  </si>
  <si>
    <t>rba_table</t>
  </si>
  <si>
    <t>rba_series</t>
  </si>
  <si>
    <t>rba_month</t>
  </si>
  <si>
    <t>source</t>
  </si>
  <si>
    <t>seen</t>
  </si>
  <si>
    <t>F5</t>
  </si>
  <si>
    <t>FILRHLBVS</t>
  </si>
  <si>
    <t>2019-05</t>
  </si>
  <si>
    <t>RBA statistical table F5 Indicator Lending Rates, series FILRHLBVS (Housing loans; Banks; Variable; Standard; Owner-occupier), figure for May 2019; cross-checked against the published Division 7A benchmark rate table. Automated comparison 23 September 2026: xl/worksheets/sheet1.xml!D736, series identifier D11.</t>
  </si>
  <si>
    <t>2026-08-28</t>
  </si>
  <si>
    <t>2020-05</t>
  </si>
  <si>
    <t>RBA statistical table F5 Indicator Lending Rates, series FILRHLBVS (Housing loans; Banks; Variable; Standard; Owner-occupier), figure for May 2020; cross-checked against the published Division 7A benchmark rate table. Automated comparison 23 September 2026: xl/worksheets/sheet1.xml!D748, series identifier D11.</t>
  </si>
  <si>
    <t>2021-05</t>
  </si>
  <si>
    <t>RBA statistical table F5 Indicator Lending Rates, series FILRHLBVS (Housing loans; Banks; Variable; Standard; Owner-occupier), figure for May 2021; cross-checked against the published Division 7A benchmark rate table. Automated comparison 23 September 2026: xl/worksheets/sheet1.xml!D760, series identifier D11.</t>
  </si>
  <si>
    <t>2022-05</t>
  </si>
  <si>
    <t>RBA statistical table F5 Indicator Lending Rates, series FILRHLBVS (Housing loans; Banks; Variable; Standard; Owner-occupier), figure for May 2022; cross-checked against the published Division 7A benchmark rate table. Automated comparison 23 September 2026: xl/worksheets/sheet1.xml!D772, series identifier D11.</t>
  </si>
  <si>
    <t>2023-05</t>
  </si>
  <si>
    <t>RBA statistical table F5 Indicator Lending Rates, series FILRHLBVS (Housing loans; Banks; Variable; Standard; Owner-occupier), figure for May 2023; cross-checked against the published Division 7A benchmark rate table. Automated comparison 23 September 2026: xl/worksheets/sheet1.xml!D784, series identifier D11.</t>
  </si>
  <si>
    <t>2024-05</t>
  </si>
  <si>
    <t>RBA statistical table F5 Indicator Lending Rates, series FILRHLBVS (Housing loans; Banks; Variable; Standard; Owner-occupier), figure for May 2024; cross-checked against the published Division 7A benchmark rate table. Automated comparison 23 September 2026: xl/worksheets/sheet1.xml!D796, series identifier D11.</t>
  </si>
  <si>
    <t>2025-26</t>
  </si>
  <si>
    <t>2025-05</t>
  </si>
  <si>
    <t>RBA statistical table F5 Indicator Lending Rates, series FILRHLBVS (Housing loans; Banks; Variable; Standard; Owner-occupier), figure for May 2025 (8.37 per cent). June 2025 was 8.27 per cent and is not the benchmark rate: it was published after the year of income began. Automated comparison 23 September 2026: xl/worksheets/sheet1.xml!D808, series identifier D11.</t>
  </si>
  <si>
    <t>2026-27</t>
  </si>
  <si>
    <t>2026-05</t>
  </si>
  <si>
    <t>RBA statistical table F5 Indicator Lending Rates, series FILRHLBVS (Housing loans; Banks; Variable; Standard; Owner-occupier), figure for May 2026; cross-checked against the published Division 7A benchmark rate table. Automated comparison 23 September 2026: xl/worksheets/sheet1.xml!D820, series identifier D11.</t>
  </si>
  <si>
    <t>To review a year outside this table, add a row with the May RBA F5 FILRHLBVS figure and cite where you read it. A blank source is not a review.</t>
  </si>
  <si>
    <t>Review</t>
  </si>
  <si>
    <t>Year of income under review</t>
  </si>
  <si>
    <t>Benchmark interest rate for that year (s 109N(2))</t>
  </si>
  <si>
    <t>Year start</t>
  </si>
  <si>
    <t>Summary (counts are per question, not per row)</t>
  </si>
  <si>
    <t>rows_reviewed</t>
  </si>
  <si>
    <t>COMPLYING</t>
  </si>
  <si>
    <t>NOT_COMPLYING</t>
  </si>
  <si>
    <t>MYR_MET</t>
  </si>
  <si>
    <t>MYR_SHORT</t>
  </si>
  <si>
    <t>UNKNOWN</t>
  </si>
  <si>
    <t>REFUSED</t>
  </si>
  <si>
    <t>SKIPPED</t>
  </si>
  <si>
    <t>experimental_total_exposure</t>
  </si>
  <si>
    <t>Check</t>
  </si>
  <si>
    <t>Result</t>
  </si>
  <si>
    <t>Count or value</t>
  </si>
  <si>
    <t>Example loan</t>
  </si>
  <si>
    <t>Every register value can be read</t>
  </si>
  <si>
    <t>No formula in an input cell</t>
  </si>
  <si>
    <t>A reviewed benchmark exists, rate years are unique and rates are from zero to one</t>
  </si>
  <si>
    <t>Every reviewed loan is on s 109N terms</t>
  </si>
  <si>
    <t>No minimum yearly repayment is short</t>
  </si>
  <si>
    <t>No row is undecided (UNKNOWN)</t>
  </si>
  <si>
    <t>Rows refused a repayment figure (read the reason; not a breach by itself)</t>
  </si>
  <si>
    <t>No fabricated example loan from the shipped sample remains in the register</t>
  </si>
  <si>
    <t>Caveats the engine attaches to every result</t>
  </si>
  <si>
    <t>Interest-floor interpretation unresolved: ATO guidance requires the benchmark interest rate for each year of the loan. This workbook compares one selected year's benchmark and defaults to the year the loan was made. COMPLYING does not establish that the agreement meets the annual interest requirement. Review the agreement and relevant years before relying on this result. See docs/primary-source-review-2026-08-31.md. The lodgment day (s 109D(6)) is asserted, not computed. Refinancing reductions to the maximum term (s 109N(3A) to (3D)) and the other Subdivision D exclusions are not modelled.</t>
  </si>
  <si>
    <t>s 109R: the workbook does not decide whether the payments applied are genuine repayments. The figure used is the operator's assertion.</t>
  </si>
  <si>
    <t>Any shortfall shown is an experimental review aid, not an ATO assessment and not a s 109E(1) determination. s 109E(2) makes the dividend the shortfall subject to s 109Y, and s 109E(1)(d) removes it where s 109Q applies. Neither is modelled, nor is s 109RB.</t>
  </si>
  <si>
    <t>The s 109E(6) amount is rounded to cents half up. The Act prescribes no rounding; this is the engine's documented choice. A fractional remaining term is rounded up to a whole number under the closing words of s 109E(6).</t>
  </si>
  <si>
    <t>A loan year before 1998-99 is skipped: Division 7A reaches a loan made before 4 December 1997 only where its terms were varied on or after that day (s 109D(5)).</t>
  </si>
  <si>
    <t>Item</t>
  </si>
  <si>
    <t>Value</t>
  </si>
  <si>
    <t>Workbook engine version</t>
  </si>
  <si>
    <t>0.3.1</t>
  </si>
  <si>
    <t>Desktop Excel build used to calculate cached values</t>
  </si>
  <si>
    <t>Law</t>
  </si>
  <si>
    <t>Income Tax Assessment Act 1936 (Cth) Part III Division 7A, C1936A00027, compilation in force 1 July 2026: s 109D, 109E, 109N, 109P, 109R</t>
  </si>
  <si>
    <t>Law source</t>
  </si>
  <si>
    <t>https://www.legislation.gov.au/C1936A00027/2026-07-01/text</t>
  </si>
  <si>
    <t>Benchmark rates</t>
  </si>
  <si>
    <t>RBA statistical table F5 Indicator Lending Rates, series FILRHLBVS, May figure for each year of income (s 109N(2))</t>
  </si>
  <si>
    <t>Rates reviewed until</t>
  </si>
  <si>
    <t>Rates reviewed on</t>
  </si>
  <si>
    <t>Rates explainer</t>
  </si>
  <si>
    <t>https://duguid.com.au/rates/div7a-benchmark-rate/</t>
  </si>
  <si>
    <t>Disclaimer</t>
  </si>
  <si>
    <t>Experimental review aid. Not a Division 7A determination, not an ATO assessment, and not tax, legal or financial advice.</t>
  </si>
  <si>
    <t>Excel 16.0 build 20527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</si>
</sst>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6" x14ac:knownFonts="1">
    <font>
      <sz val="11"/>
      <color theme="1"/>
      <name val="Calibri"/>
      <family val="2"/>
      <scheme val="minor"/>
    </font>
    <font>
      <b/>
      <sz val="14"/>
      <color rgb="FF5C2D91"/>
      <name val="Calibri"/>
    </font>
    <font>
      <b/>
      <sz val="11"/>
      <name val="Calibri"/>
    </font>
    <font>
      <b/>
      <sz val="14"/>
      <name val="Calibri"/>
    </font>
    <font>
      <b/>
      <sz val="11"/>
      <color rgb="FFFFFFFF"/>
      <name val="Calibri"/>
    </font>
    <font>
      <sz val="11"/>
      <color rgb="FF1F4E9E"/>
      <name val="Calibri"/>
    </font>
  </fonts>
  <fills count="5">
    <fill>
      <patternFill patternType="none"/>
    </fill>
    <fill>
      <patternFill patternType="gray125"/>
    </fill>
    <fill>
      <patternFill patternType="solid">
        <fgColor rgb="FFF3F1F6"/>
      </patternFill>
    </fill>
    <fill>
      <patternFill patternType="solid">
        <fgColor rgb="FF5C2D91"/>
      </patternFill>
    </fill>
    <fill>
      <patternFill patternType="solid">
        <fgColor rgb="FFE2E0DF"/>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0" fillId="0" borderId="0" xfId="0" applyAlignment="1">
      <alignment vertical="top" wrapText="1"/>
    </xf>
    <xf numFmtId="0" fontId="2" fillId="0" borderId="0" xfId="0" applyFont="1"/>
    <xf numFmtId="0" fontId="3" fillId="2" borderId="0" xfId="0" applyFont="1" applyFill="1"/>
    <xf numFmtId="0" fontId="4" fillId="3" borderId="0" xfId="0" applyFont="1" applyFill="1"/>
    <xf numFmtId="49" fontId="5" fillId="4" borderId="0" xfId="0" applyNumberFormat="1" applyFont="1" applyFill="1"/>
    <xf numFmtId="0" fontId="5" fillId="4" borderId="0" xfId="0" applyFont="1" applyFill="1"/>
    <xf numFmtId="164" fontId="5" fillId="4" borderId="0" xfId="0" applyNumberFormat="1" applyFont="1" applyFill="1"/>
    <xf numFmtId="0" fontId="0" fillId="2" borderId="0" xfId="0" applyFill="1"/>
    <xf numFmtId="164" fontId="0" fillId="2" borderId="0" xfId="0" applyNumberFormat="1" applyFill="1"/>
    <xf numFmtId="49" fontId="5" fillId="4" borderId="0" xfId="0" applyNumberFormat="1" applyFont="1" applyFill="1" applyProtection="1">
      <protection locked="0"/>
    </xf>
    <xf numFmtId="10" fontId="0" fillId="2" borderId="0" xfId="0" applyNumberFormat="1" applyFill="1"/>
    <xf numFmtId="0" fontId="2" fillId="2" borderId="0" xfId="0" applyFont="1" applyFill="1"/>
    <xf numFmtId="0" fontId="0" fillId="0" borderId="0" xfId="0" applyAlignment="1">
      <alignment wrapText="1"/>
    </xf>
  </cellXfs>
  <cellStyles count="1">
    <cellStyle name="Normal" xfId="0" builtinId="0"/>
  </cellStyles>
  <dxfs count="9">
    <dxf>
      <fill>
        <patternFill patternType="solid">
          <fgColor rgb="FFD4EDDA"/>
        </patternFill>
      </fill>
    </dxf>
    <dxf>
      <fill>
        <patternFill patternType="solid">
          <fgColor rgb="FFFFF3CD"/>
        </patternFill>
      </fill>
    </dxf>
    <dxf>
      <fill>
        <patternFill patternType="solid">
          <fgColor rgb="FFF8D7DA"/>
        </patternFill>
      </fill>
    </dxf>
    <dxf>
      <fill>
        <patternFill patternType="solid">
          <fgColor rgb="FFD4EDDA"/>
        </patternFill>
      </fill>
    </dxf>
    <dxf>
      <fill>
        <patternFill patternType="solid">
          <fgColor rgb="FFFFF3CD"/>
        </patternFill>
      </fill>
    </dxf>
    <dxf>
      <fill>
        <patternFill patternType="solid">
          <fgColor rgb="FFF8D7DA"/>
        </patternFill>
      </fill>
    </dxf>
    <dxf>
      <fill>
        <patternFill patternType="solid">
          <fgColor rgb="FFD4EDDA"/>
        </patternFill>
      </fill>
    </dxf>
    <dxf>
      <fill>
        <patternFill patternType="solid">
          <fgColor rgb="FFFFF3CD"/>
        </patternFill>
      </fill>
    </dxf>
    <dxf>
      <fill>
        <patternFill patternType="solid">
          <fgColor rgb="FFF8D7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Loans" displayName="tblLoans" ref="A1:AL9">
  <tableColumns count="38">
    <tableColumn id="1" xr3:uid="{00000000-0010-0000-0000-000001000000}" name="loan_id"/>
    <tableColumn id="2" xr3:uid="{00000000-0010-0000-0000-000002000000}" name="borrower_reference"/>
    <tableColumn id="3" xr3:uid="{00000000-0010-0000-0000-000003000000}" name="year_loan_made"/>
    <tableColumn id="4" xr3:uid="{00000000-0010-0000-0000-000004000000}" name="written_agreement"/>
    <tableColumn id="5" xr3:uid="{00000000-0010-0000-0000-000005000000}" name="terms_in_place_before_lodgment_day"/>
    <tableColumn id="6" xr3:uid="{00000000-0010-0000-0000-000006000000}" name="maximum_term_years"/>
    <tableColumn id="7" xr3:uid="{00000000-0010-0000-0000-000007000000}" name="secured_by_registered_mortgage_over_real_property"/>
    <tableColumn id="8" xr3:uid="{00000000-0010-0000-0000-000008000000}" name="security_coverage_at_first_made"/>
    <tableColumn id="9" xr3:uid="{00000000-0010-0000-0000-000009000000}" name="interest_rate_for_years_after_year_loan_made"/>
    <tableColumn id="10" xr3:uid="{00000000-0010-0000-0000-00000A000000}" name="amalgamated_loan_unpaid_at_end_of_previous_year"/>
    <tableColumn id="11" xr3:uid="{00000000-0010-0000-0000-00000B000000}" name="remaining_term_years"/>
    <tableColumn id="12" xr3:uid="{00000000-0010-0000-0000-00000C000000}" name="payments_applied_during_the_year"/>
    <tableColumn id="13" xr3:uid="{00000000-0010-0000-0000-00000D000000}" name="out_of_scope_reason"/>
    <tableColumn id="14" xr3:uid="{00000000-0010-0000-0000-00000E000000}" name="year_of_income_being_tested"/>
    <tableColumn id="15" xr3:uid="{00000000-0010-0000-0000-00000F000000}" name="Status">
      <calculatedColumnFormula>IF(TRIM(tblLoans[[#This Row],[out_of_scope_reason]]&amp;"")&lt;&gt;"","SKIPPED",IF(IFERROR(VALUE(LEFT(tblLoans[[#This Row],[Year_made_text]],4))&lt;1998,FALSE),"SKIPPED","REVIEWED"))</calculatedColumnFormula>
    </tableColumn>
    <tableColumn id="16" xr3:uid="{00000000-0010-0000-0000-000010000000}" name="Floor_year">
      <calculatedColumnFormula>IF(OR(LOWER(TRIM(tblLoans[[#This Row],[Year_tested_text]]&amp;""))={"","-","?","n/a","na","unk","unknown"}),tblLoans[[#This Row],[Year_made_text]],tblLoans[[#This Row],[Year_tested_text]])</calculatedColumnFormula>
    </tableColumn>
    <tableColumn id="17" xr3:uid="{00000000-0010-0000-0000-000011000000}" name="Floor_rate">
      <calculatedColumnFormula>IFERROR(INDEX(tblRates[rate],MATCH(tblLoans[[#This Row],[Floor_year]],tblRates[year_of_income],0)),"")</calculatedColumnFormula>
    </tableColumn>
    <tableColumn id="18" xr3:uid="{00000000-0010-0000-0000-000012000000}" name="Limb_a_written">
      <calculatedColumnFormula>IF(OR(LOWER(TRIM(tblLoans[[#This Row],[written_agreement]]&amp;""))={"","-","?","n/a","na","unk","unknown"}),"UNKNOWN",IF(OR(LOWER(TRIM(tblLoans[[#This Row],[written_agreement]]&amp;""))={"1","t","true","y","yes"}),"PASS",IF(OR(LOWER(TRIM(tblLoans[[#This Row],[written_agreement]]&amp;""))={"0","f","false","n","no"}),"FAIL","UNKNOWN")))</calculatedColumnFormula>
    </tableColumn>
    <tableColumn id="19" xr3:uid="{00000000-0010-0000-0000-000013000000}" name="Limb_lodgment">
      <calculatedColumnFormula>IF(OR(LOWER(TRIM(tblLoans[[#This Row],[terms_in_place_before_lodgment_day]]&amp;""))={"","-","?","n/a","na","unk","unknown"}),"UNKNOWN",IF(OR(LOWER(TRIM(tblLoans[[#This Row],[terms_in_place_before_lodgment_day]]&amp;""))={"1","t","true","y","yes"}),"PASS",IF(OR(LOWER(TRIM(tblLoans[[#This Row],[terms_in_place_before_lodgment_day]]&amp;""))={"0","f","false","n","no"}),"FAIL","UNKNOWN")))</calculatedColumnFormula>
    </tableColumn>
    <tableColumn id="20" xr3:uid="{00000000-0010-0000-0000-000014000000}" name="Limb_b_rate">
      <calculatedColumnFormula>IF(NOT(ISNUMBER(tblLoans[[#This Row],[interest_rate_for_years_after_year_loan_made]])),"UNKNOWN",IF(tblLoans[[#This Row],[Floor_rate]]="","UNKNOWN",IF(tblLoans[[#This Row],[interest_rate_for_years_after_year_loan_made]]&gt;=tblLoans[[#This Row],[Floor_rate]],"PASS","FAIL")))</calculatedColumnFormula>
    </tableColumn>
    <tableColumn id="21" xr3:uid="{00000000-0010-0000-0000-000015000000}" name="Limb_secured">
      <calculatedColumnFormula>IF(OR(LOWER(TRIM(tblLoans[[#This Row],[secured_by_registered_mortgage_over_real_property]]&amp;""))={"","-","?","n/a","na","unk","unknown"}),"UNKNOWN",IF(OR(LOWER(TRIM(tblLoans[[#This Row],[secured_by_registered_mortgage_over_real_property]]&amp;""))={"1","t","true","y","yes"}),"PASS",IF(OR(LOWER(TRIM(tblLoans[[#This Row],[secured_by_registered_mortgage_over_real_property]]&amp;""))={"0","f","false","n","no"}),"FAIL","UNKNOWN")))</calculatedColumnFormula>
    </tableColumn>
    <tableColumn id="22" xr3:uid="{00000000-0010-0000-0000-000016000000}" name="Allowed_term_raw">
      <calculatedColumnFormula>IF(tblLoans[[#This Row],[Limb_secured]]="FAIL",7,IF(tblLoans[[#This Row],[Limb_secured]]="PASS",IF(ISNUMBER(tblLoans[[#This Row],[security_coverage_at_first_made]]),IF(tblLoans[[#This Row],[security_coverage_at_first_made]]&gt;=1.1,25,7),""),""))</calculatedColumnFormula>
    </tableColumn>
    <tableColumn id="23" xr3:uid="{00000000-0010-0000-0000-000017000000}" name="Limb_c_term">
      <calculatedColumnFormula>IF(NOT(ISNUMBER(tblLoans[[#This Row],[maximum_term_years]])),"UNKNOWN",IF(tblLoans[[#This Row],[Allowed_term_raw]]="",IF(tblLoans[[#This Row],[maximum_term_years]]&lt;=7,"PASS","UNKNOWN"),IF(tblLoans[[#This Row],[maximum_term_years]]&lt;=tblLoans[[#This Row],[Allowed_term_raw]],"PASS","FAIL")))</calculatedColumnFormula>
    </tableColumn>
    <tableColumn id="24" xr3:uid="{00000000-0010-0000-0000-000018000000}" name="Gate_verdict">
      <calculatedColumnFormula>IF(tblLoans[[#This Row],[Status]]="SKIPPED","",IF(OR(LOWER(TRIM(tblLoans[[#This Row],[Floor_year]]&amp;""))={"","-","?","n/a","na","unk","unknown"}),"UNKNOWN",IF(OR(tblLoans[[#This Row],[Limb_a_written]]="FAIL",tblLoans[[#This Row],[Limb_lodgment]]="FAIL",tblLoans[[#This Row],[Limb_b_rate]]="FAIL",tblLoans[[#This Row],[Limb_c_term]]="FAIL"),"NOT_COMPLYING",IF(OR(tblLoans[[#This Row],[Limb_a_written]]="UNKNOWN",tblLoans[[#This Row],[Limb_lodgment]]="UNKNOWN",tblLoans[[#This Row],[Limb_b_rate]]="UNKNOWN",tblLoans[[#This Row],[Limb_c_term]]="UNKNOWN"),"UNKNOWN","COMPLYING"))))</calculatedColumnFormula>
    </tableColumn>
    <tableColumn id="25" xr3:uid="{00000000-0010-0000-0000-000019000000}" name="Max_term_allowed">
      <calculatedColumnFormula>IF(OR(tblLoans[[#This Row],[Status]]="SKIPPED",OR(LOWER(TRIM(tblLoans[[#This Row],[Floor_year]]&amp;""))={"","-","?","n/a","na","unk","unknown"})),"",IF(tblLoans[[#This Row],[Allowed_term_raw]]&lt;&gt;"",tblLoans[[#This Row],[Allowed_term_raw]],IF(AND(ISNUMBER(tblLoans[[#This Row],[maximum_term_years]]),tblLoans[[#This Row],[maximum_term_years]]&lt;=7),7,"")))</calculatedColumnFormula>
    </tableColumn>
    <tableColumn id="26" xr3:uid="{00000000-0010-0000-0000-00001A000000}" name="Term_used">
      <calculatedColumnFormula>IF(tblLoans[[#This Row],[Status]]="SKIPPED","",IF(ISNUMBER(tblLoans[[#This Row],[remaining_term_years]]),ROUNDUP(tblLoans[[#This Row],[remaining_term_years]],0),""))</calculatedColumnFormula>
    </tableColumn>
    <tableColumn id="27" xr3:uid="{00000000-0010-0000-0000-00001B000000}" name="MYR_raw">
      <calculatedColumnFormula>IF(AND(ISNUMBER(tblLoans[[#This Row],[amalgamated_loan_unpaid_at_end_of_previous_year]]),ISNUMBER(Summary!$B$3),Summary!$B$3&gt;0,ISNUMBER(tblLoans[[#This Row],[Term_used]]),tblLoans[[#This Row],[Term_used]]&gt;0),ROUND(tblLoans[[#This Row],[amalgamated_loan_unpaid_at_end_of_previous_year]]*Summary!$B$3/(1-(1/(1+Summary!$B$3))^tblLoans[[#This Row],[Term_used]]),2),"")</calculatedColumnFormula>
    </tableColumn>
    <tableColumn id="28" xr3:uid="{00000000-0010-0000-0000-00001C000000}" name="MYR_verdict">
      <calculatedColumnFormula>IF(tblLoans[[#This Row],[Status]]="SKIPPED","",IF(OR(tblLoans[[#This Row],[Gate_verdict]]&lt;&gt;"COMPLYING",AND(NOT(OR(LOWER(TRIM(tblLoans[[#This Row],[Year_made_text]]&amp;""))={"","-","?","n/a","na","unk","unknown"})),tblLoans[[#This Row],[Floor_year]]&lt;&gt;tblLoans[[#This Row],[Year_made_text]]),tblLoans[[#This Row],[Year_made_text]]=Summary!$B$2,IFERROR(VALUE(LEFT(tblLoans[[#This Row],[Year_made_text]],4))&gt;Summary!$B$4,FALSE),AND(ISNUMBER(tblLoans[[#This Row],[Term_used]]),tblLoans[[#This Row],[Term_used]]&lt;=0),AND(ISNUMBER(Summary!$B$3),Summary!$B$3&lt;=0)),"REFUSED",IF(OR(OR(LOWER(TRIM(tblLoans[[#This Row],[Year_made_text]]&amp;""))={"","-","?","n/a","na","unk","unknown"}),NOT(ISNUMBER(Summary!$B$3)),NOT(ISNUMBER(tblLoans[[#This Row],[amalgamated_loan_unpaid_at_end_of_previous_year]])),NOT(ISNUMBER(tblLoans[[#This Row],[payments_applied_during_the_year]])),NOT(ISNUMBER(tblLoans[[#This Row],[Term_used]]))),"UNKNOWN",IF(tblLoans[[#This Row],[MYR_raw]]-ROUND(tblLoans[[#This Row],[payments_applied_during_the_year]],2)&lt;=0,"MYR_MET","MYR_SHORT"))))</calculatedColumnFormula>
    </tableColumn>
    <tableColumn id="29" xr3:uid="{00000000-0010-0000-0000-00001D000000}" name="MYR_reason">
      <calculatedColumnFormula>IF(tblLoans[[#This Row],[MYR_verdict]]="REFUSED",IF(tblLoans[[#This Row],[Gate_verdict]]&lt;&gt;"COMPLYING","s 109N gate is "&amp;tblLoans[[#This Row],[Gate_verdict]]&amp;", so s 109E produces no repayment figure",IF(tblLoans[[#This Row],[Floor_year]]&lt;&gt;tblLoans[[#This Row],[Year_made_text]],"gate benchmark year differs from year_loan_made",IF(tblLoans[[#This Row],[Year_made_text]]=Summary!$B$2,"year of income is the year the loan was made (s 109E(1)(a), s 109P)",IF(IFERROR(VALUE(LEFT(tblLoans[[#This Row],[Year_made_text]],4))&gt;Summary!$B$4,FALSE),"loan made after the year of income",IF(AND(ISNUMBER(tblLoans[[#This Row],[Term_used]]),tblLoans[[#This Row],[Term_used]]&lt;=0),"nil remaining term under s 109E(6)","nil benchmark rate"))))),IF(tblLoans[[#This Row],[MYR_verdict]]="UNKNOWN",IF(OR(LOWER(TRIM(tblLoans[[#This Row],[Year_made_text]]&amp;""))={"","-","?","n/a","na","unk","unknown"}),"year_loan_made not established",IF(NOT(ISNUMBER(Summary!$B$3)),"no reviewed benchmark rate for the year of income",IF(NOT(ISNUMBER(tblLoans[[#This Row],[amalgamated_loan_unpaid_at_end_of_previous_year]])),"unpaid balance at end of previous year not established",IF(NOT(ISNUMBER(tblLoans[[#This Row],[payments_applied_during_the_year]])),"payments applied not established","remaining term not established")))),""))</calculatedColumnFormula>
    </tableColumn>
    <tableColumn id="30" xr3:uid="{00000000-0010-0000-0000-00001E000000}" name="MYR_required">
      <calculatedColumnFormula>IF(OR(tblLoans[[#This Row],[MYR_verdict]]="MYR_MET",tblLoans[[#This Row],[MYR_verdict]]="MYR_SHORT"),tblLoans[[#This Row],[MYR_raw]],"")</calculatedColumnFormula>
    </tableColumn>
    <tableColumn id="31" xr3:uid="{00000000-0010-0000-0000-00001F000000}" name="Shortfall">
      <calculatedColumnFormula>IF(OR(tblLoans[[#This Row],[MYR_verdict]]="MYR_MET",tblLoans[[#This Row],[MYR_verdict]]="MYR_SHORT"),MAX(0,ROUND(tblLoans[[#This Row],[MYR_raw]]-ROUND(tblLoans[[#This Row],[payments_applied_during_the_year]],2),2)),"")</calculatedColumnFormula>
    </tableColumn>
    <tableColumn id="32" xr3:uid="{00000000-0010-0000-0000-000020000000}" name="Exposure">
      <calculatedColumnFormula>IF(tblLoans[[#This Row],[MYR_verdict]]="MYR_SHORT",tblLoans[[#This Row],[Shortfall]],"")</calculatedColumnFormula>
    </tableColumn>
    <tableColumn id="33" xr3:uid="{00000000-0010-0000-0000-000021000000}" name="Undecided">
      <calculatedColumnFormula>IF(AND(tblLoans[[#This Row],[Status]]="REVIEWED",OR(tblLoans[[#This Row],[Gate_verdict]]="UNKNOWN",tblLoans[[#This Row],[MYR_verdict]]="UNKNOWN")),1,0)</calculatedColumnFormula>
    </tableColumn>
    <tableColumn id="34" xr3:uid="{00000000-0010-0000-0000-000022000000}" name="Guard">
      <calculatedColumnFormula>IF(OR(_xlfn.ISFORMULA(tblLoans[[#This Row],[loan_id]]),_xlfn.ISFORMULA(tblLoans[[#This Row],[borrower_reference]]),_xlfn.ISFORMULA(tblLoans[[#This Row],[year_loan_made]]),_xlfn.ISFORMULA(tblLoans[[#This Row],[written_agreement]]),_xlfn.ISFORMULA(tblLoans[[#This Row],[terms_in_place_before_lodgment_day]]),_xlfn.ISFORMULA(tblLoans[[#This Row],[maximum_term_years]]),_xlfn.ISFORMULA(tblLoans[[#This Row],[secured_by_registered_mortgage_over_real_property]]),_xlfn.ISFORMULA(tblLoans[[#This Row],[security_coverage_at_first_made]]),_xlfn.ISFORMULA(tblLoans[[#This Row],[interest_rate_for_years_after_year_loan_made]]),_xlfn.ISFORMULA(tblLoans[[#This Row],[amalgamated_loan_unpaid_at_end_of_previous_year]]),_xlfn.ISFORMULA(tblLoans[[#This Row],[remaining_term_years]]),_xlfn.ISFORMULA(tblLoans[[#This Row],[payments_applied_during_the_year]]),_xlfn.ISFORMULA(tblLoans[[#This Row],[out_of_scope_reason]]),_xlfn.ISFORMULA(tblLoans[[#This Row],[year_of_income_being_tested]])),1,0)</calculatedColumnFormula>
    </tableColumn>
    <tableColumn id="35" xr3:uid="{00000000-0010-0000-0000-000023000000}" name="Input_problem">
      <calculatedColumnFormula>IF(TRIM(tblLoans[[#This Row],[out_of_scope_reason]]&amp;"")&lt;&gt;"","",TRIM(IF(OR(AND(NOT(OR(LOWER(TRIM(tblLoans[[#This Row],[Year_made_text]]&amp;""))={"","-","?","n/a","na","unk","unknown"})),NOT(IFERROR(AND(LEN(tblLoans[[#This Row],[Year_made_text]])=7,MID(tblLoans[[#This Row],[Year_made_text]],5,1)="-",ISNUMBER(VALUE(MID(tblLoans[[#This Row],[Year_made_text]],1,1))),ISNUMBER(VALUE(MID(tblLoans[[#This Row],[Year_made_text]],2,1))),ISNUMBER(VALUE(MID(tblLoans[[#This Row],[Year_made_text]],3,1))),ISNUMBER(VALUE(MID(tblLoans[[#This Row],[Year_made_text]],4,1))),ISNUMBER(VALUE(MID(tblLoans[[#This Row],[Year_made_text]],6,1))),ISNUMBER(VALUE(MID(tblLoans[[#This Row],[Year_made_text]],7,1))),VALUE(RIGHT(tblLoans[[#This Row],[Year_made_text]],2))=MOD(VALUE(LEFT(tblLoans[[#This Row],[Year_made_text]],4))+1,100),VALUE(LEFT(tblLoans[[#This Row],[Year_made_text]],4))&gt;=1900,VALUE(LEFT(tblLoans[[#This Row],[Year_made_text]],4))&lt;=2100),FALSE))),AND(tblLoans[[#This Row],[Status]]="REVIEWED",AND(NOT(OR(LOWER(TRIM(tblLoans[[#This Row],[Year_tested_text]]&amp;""))={"","-","?","n/a","na","unk","unknown"})),NOT(IFERROR(AND(LEN(tblLoans[[#This Row],[Year_tested_text]])=7,MID(tblLoans[[#This Row],[Year_tested_text]],5,1)="-",ISNUMBER(VALUE(MID(tblLoans[[#This Row],[Year_tested_text]],1,1))),ISNUMBER(VALUE(MID(tblLoans[[#This Row],[Year_tested_text]],2,1))),ISNUMBER(VALUE(MID(tblLoans[[#This Row],[Year_tested_text]],3,1))),ISNUMBER(VALUE(MID(tblLoans[[#This Row],[Year_tested_text]],4,1))),ISNUMBER(VALUE(MID(tblLoans[[#This Row],[Year_tested_text]],6,1))),ISNUMBER(VALUE(MID(tblLoans[[#This Row],[Year_tested_text]],7,1))),VALUE(RIGHT(tblLoans[[#This Row],[Year_tested_text]],2))=MOD(VALUE(LEFT(tblLoans[[#This Row],[Year_tested_text]],4))+1,100),VALUE(LEFT(tblLoans[[#This Row],[Year_tested_text]],4))&gt;=1900,VALUE(LEFT(tblLoans[[#This Row],[Year_tested_text]],4))&lt;=2100),FALSE))))),"year label ","")&amp;IF(tblLoans[[#This Row],[Status]]&lt;&gt;"REVIEWED","",IF(OR(AND(NOT(OR(LOWER(TRIM(tblLoans[[#This Row],[written_agreement]]&amp;""))={"","-","?","n/a","na","unk","unknown"})),NOT(OR(LOWER(TRIM(tblLoans[[#This Row],[written_agreement]]&amp;""))={"0","1","f","false","n","no","t","true","y","yes"}))),AND(NOT(OR(LOWER(TRIM(tblLoans[[#This Row],[terms_in_place_before_lodgment_day]]&amp;""))={"","-","?","n/a","na","unk","unknown"})),NOT(OR(LOWER(TRIM(tblLoans[[#This Row],[terms_in_place_before_lodgment_day]]&amp;""))={"0","1","f","false","n","no","t","true","y","yes"}))),AND(NOT(OR(LOWER(TRIM(tblLoans[[#This Row],[secured_by_registered_mortgage_over_real_property]]&amp;""))={"","-","?","n/a","na","unk","unknown"})),NOT(OR(LOWER(TRIM(tblLoans[[#This Row],[secured_by_registered_mortgage_over_real_property]]&amp;""))={"0","1","f","false","n","no","t","true","y","yes"})))),"true/false/unknown ","")&amp;IF(OR(AND(NOT(OR(LOWER(TRIM(tblLoans[[#This Row],[maximum_term_years]]&amp;""))={"","-","?","n/a","na","unk","unknown"})),OR(NOT(ISNUMBER(tblLoans[[#This Row],[maximum_term_years]])),AND(ISNUMBER(tblLoans[[#This Row],[maximum_term_years]]),OR(tblLoans[[#This Row],[maximum_term_years]]&lt;0)))),AND(NOT(OR(LOWER(TRIM(tblLoans[[#This Row],[security_coverage_at_first_made]]&amp;""))={"","-","?","n/a","na","unk","unknown"})),OR(NOT(ISNUMBER(tblLoans[[#This Row],[security_coverage_at_first_made]])),AND(ISNUMBER(tblLoans[[#This Row],[security_coverage_at_first_made]]),OR(tblLoans[[#This Row],[security_coverage_at_first_made]]&lt;0)))),AND(NOT(OR(LOWER(TRIM(tblLoans[[#This Row],[interest_rate_for_years_after_year_loan_made]]&amp;""))={"","-","?","n/a","na","unk","unknown"})),OR(NOT(ISNUMBER(tblLoans[[#This Row],[interest_rate_for_years_after_year_loan_made]])),AND(ISNUMBER(tblLoans[[#This Row],[interest_rate_for_years_after_year_loan_made]]),OR(tblLoans[[#This Row],[interest_rate_for_years_after_year_loan_made]]&lt;0,tblLoans[[#This Row],[interest_rate_for_years_after_year_loan_made]]&gt;1)))),AND(NOT(OR(LOWER(TRIM(tblLoans[[#This Row],[amalgamated_loan_unpaid_at_end_of_previous_year]]&amp;""))={"","-","?","n/a","na","unk","unknown"})),OR(NOT(ISNUMBER(tblLoans[[#This Row],[amalgamated_loan_unpaid_at_end_of_previous_year]])),AND(ISNUMBER(tblLoans[[#This Row],[amalgamated_loan_unpaid_at_end_of_previous_year]]),OR(tblLoans[[#This Row],[amalgamated_loan_unpaid_at_end_of_previous_year]]&lt;0,ROUND(N(tblLoans[[#This Row],[amalgamated_loan_unpaid_at_end_of_previous_year]]),2)&lt;&gt;N(tblLoans[[#This Row],[amalgamated_loan_unpaid_at_end_of_previous_year]]),N(tblLoans[[#This Row],[amalgamated_loan_unpaid_at_end_of_previous_year]])&gt;1000000000000)))),AND(NOT(OR(LOWER(TRIM(tblLoans[[#This Row],[remaining_term_years]]&amp;""))={"","-","?","n/a","na","unk","unknown"})),OR(NOT(ISNUMBER(tblLoans[[#This Row],[remaining_term_years]])),AND(ISNUMBER(tblLoans[[#This Row],[remaining_term_years]]),OR(tblLoans[[#This Row],[remaining_term_years]]&lt;0)))),AND(NOT(OR(LOWER(TRIM(tblLoans[[#This Row],[payments_applied_during_the_year]]&amp;""))={"","-","?","n/a","na","unk","unknown"})),OR(NOT(ISNUMBER(tblLoans[[#This Row],[payments_applied_during_the_year]])),AND(ISNUMBER(tblLoans[[#This Row],[payments_applied_during_the_year]]),OR(tblLoans[[#This Row],[payments_applied_during_the_year]]&lt;0,ROUND(N(tblLoans[[#This Row],[payments_applied_during_the_year]]),2)&lt;&gt;N(tblLoans[[#This Row],[payments_applied_during_the_year]]),N(tblLoans[[#This Row],[payments_applied_during_the_year]])&gt;1000000000000))))),"number ",""))))</calculatedColumnFormula>
    </tableColumn>
    <tableColumn id="36" xr3:uid="{00000000-0010-0000-0000-000024000000}" name="Sample_row">
      <calculatedColumnFormula>IF(SUMPRODUCT((tblLoans[[#This Row],[loan_id]]&amp;""={"L-101","L-102","L-103","L-104","L-105","L-106","L-107","L-108"})*(tblLoans[[#This Row],[Year_made_text]]&amp;""={"2023-24","2022-23","2021-22","2024-25","2019-20","2020-21","2023-24","1996-97"}))&gt;0,1,0)</calculatedColumnFormula>
    </tableColumn>
    <tableColumn id="37" xr3:uid="{00000000-0010-0000-0000-000025000000}" name="Year_made_text">
      <calculatedColumnFormula>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Row],[year_loan_made]]&amp;"",_xlfn.UNICHAR(9),"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calculatedColumnFormula>
    </tableColumn>
    <tableColumn id="38" xr3:uid="{00000000-0010-0000-0000-000026000000}" name="Year_tested_text">
      <calculatedColumnFormula>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Row],[year_of_income_being_tested]]&amp;"",_xlfn.UNICHAR(9),"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Rates" displayName="tblRates" ref="A1:G9">
  <tableColumns count="7">
    <tableColumn id="1" xr3:uid="{00000000-0010-0000-0100-000001000000}" name="year_of_income"/>
    <tableColumn id="2" xr3:uid="{00000000-0010-0000-0100-000002000000}" name="rate"/>
    <tableColumn id="3" xr3:uid="{00000000-0010-0000-0100-000003000000}" name="rba_table"/>
    <tableColumn id="4" xr3:uid="{00000000-0010-0000-0100-000004000000}" name="rba_series"/>
    <tableColumn id="5" xr3:uid="{00000000-0010-0000-0100-000005000000}" name="rba_month"/>
    <tableColumn id="6" xr3:uid="{00000000-0010-0000-0100-000006000000}" name="source"/>
    <tableColumn id="7" xr3:uid="{00000000-0010-0000-0100-000007000000}" name="see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workbookViewId="0"/>
  </sheetViews>
  <sheetFormatPr defaultRowHeight="15" x14ac:dyDescent="0.25"/>
  <cols>
    <col min="1" max="1" width="110" customWidth="1"/>
  </cols>
  <sheetData>
    <row r="1" spans="1:1" ht="18.75" x14ac:dyDescent="0.3">
      <c r="A1" s="1" t="s">
        <v>0</v>
      </c>
    </row>
    <row r="3" spans="1:1" ht="45" x14ac:dyDescent="0.25">
      <c r="A3" s="2" t="s">
        <v>1</v>
      </c>
    </row>
    <row r="4" spans="1:1" ht="30" x14ac:dyDescent="0.25">
      <c r="A4" s="2" t="s">
        <v>2</v>
      </c>
    </row>
    <row r="5" spans="1:1" ht="30" x14ac:dyDescent="0.25">
      <c r="A5" s="2" t="s">
        <v>3</v>
      </c>
    </row>
    <row r="6" spans="1:1" ht="60" x14ac:dyDescent="0.25">
      <c r="A6" s="2" t="s">
        <v>4</v>
      </c>
    </row>
    <row r="7" spans="1:1" ht="30" x14ac:dyDescent="0.25">
      <c r="A7" s="2" t="s">
        <v>5</v>
      </c>
    </row>
    <row r="8" spans="1:1" ht="30" x14ac:dyDescent="0.25">
      <c r="A8" s="2" t="s">
        <v>6</v>
      </c>
    </row>
    <row r="10" spans="1:1" x14ac:dyDescent="0.25">
      <c r="A10" s="3" t="s">
        <v>7</v>
      </c>
    </row>
    <row r="11" spans="1:1" ht="18.75" x14ac:dyDescent="0.3">
      <c r="A11" s="4" t="str">
        <f>'Review Checks'!B10</f>
        <v>REVIEW</v>
      </c>
    </row>
    <row r="13" spans="1:1" x14ac:dyDescent="0.25">
      <c r="A13" t="s">
        <v>8</v>
      </c>
    </row>
  </sheetData>
  <conditionalFormatting sqref="A11">
    <cfRule type="cellIs" dxfId="8" priority="1" operator="equal">
      <formula>"BLOCKED"</formula>
    </cfRule>
    <cfRule type="cellIs" dxfId="7" priority="2" operator="equal">
      <formula>"REVIEW"</formula>
    </cfRule>
    <cfRule type="cellIs" dxfId="6" priority="3" operator="equal">
      <formula>"PASS"</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9"/>
  <sheetViews>
    <sheetView workbookViewId="0">
      <pane xSplit="1" ySplit="1" topLeftCell="B2" activePane="bottomRight" state="frozen"/>
      <selection pane="topRight"/>
      <selection pane="bottomLeft"/>
      <selection pane="bottomRight"/>
    </sheetView>
  </sheetViews>
  <sheetFormatPr defaultRowHeight="15" x14ac:dyDescent="0.25"/>
  <cols>
    <col min="1" max="1" width="10" customWidth="1"/>
    <col min="2" max="9" width="12" customWidth="1"/>
    <col min="10" max="10" width="14" customWidth="1"/>
    <col min="11" max="11" width="12" customWidth="1"/>
    <col min="12" max="12" width="14" customWidth="1"/>
    <col min="13" max="13" width="24" customWidth="1"/>
    <col min="14" max="28" width="12" customWidth="1"/>
    <col min="29" max="29" width="40" customWidth="1"/>
    <col min="30" max="32" width="14" customWidth="1"/>
    <col min="33" max="36" width="12" customWidth="1"/>
    <col min="37" max="38" width="12" hidden="1" customWidth="1"/>
  </cols>
  <sheetData>
    <row r="1" spans="1:38" x14ac:dyDescent="0.25">
      <c r="A1" s="5" t="s">
        <v>9</v>
      </c>
      <c r="B1" s="5" t="s">
        <v>10</v>
      </c>
      <c r="C1" s="5" t="s">
        <v>11</v>
      </c>
      <c r="D1" s="5" t="s">
        <v>12</v>
      </c>
      <c r="E1" s="5" t="s">
        <v>13</v>
      </c>
      <c r="F1" s="5" t="s">
        <v>14</v>
      </c>
      <c r="G1" s="5" t="s">
        <v>15</v>
      </c>
      <c r="H1" s="5" t="s">
        <v>16</v>
      </c>
      <c r="I1" s="5" t="s">
        <v>17</v>
      </c>
      <c r="J1" s="5" t="s">
        <v>18</v>
      </c>
      <c r="K1" s="5" t="s">
        <v>19</v>
      </c>
      <c r="L1" s="5" t="s">
        <v>20</v>
      </c>
      <c r="M1" s="5" t="s">
        <v>21</v>
      </c>
      <c r="N1" s="5" t="s">
        <v>22</v>
      </c>
      <c r="O1" s="5" t="s">
        <v>23</v>
      </c>
      <c r="P1" s="5" t="s">
        <v>24</v>
      </c>
      <c r="Q1" s="5" t="s">
        <v>25</v>
      </c>
      <c r="R1" s="5" t="s">
        <v>26</v>
      </c>
      <c r="S1" s="5" t="s">
        <v>27</v>
      </c>
      <c r="T1" s="5" t="s">
        <v>28</v>
      </c>
      <c r="U1" s="5" t="s">
        <v>29</v>
      </c>
      <c r="V1" s="5" t="s">
        <v>30</v>
      </c>
      <c r="W1" s="5" t="s">
        <v>31</v>
      </c>
      <c r="X1" s="5" t="s">
        <v>32</v>
      </c>
      <c r="Y1" s="5" t="s">
        <v>33</v>
      </c>
      <c r="Z1" s="5" t="s">
        <v>34</v>
      </c>
      <c r="AA1" s="5" t="s">
        <v>35</v>
      </c>
      <c r="AB1" s="5" t="s">
        <v>36</v>
      </c>
      <c r="AC1" s="5" t="s">
        <v>37</v>
      </c>
      <c r="AD1" s="5" t="s">
        <v>38</v>
      </c>
      <c r="AE1" s="5" t="s">
        <v>39</v>
      </c>
      <c r="AF1" s="5" t="s">
        <v>40</v>
      </c>
      <c r="AG1" s="5" t="s">
        <v>41</v>
      </c>
      <c r="AH1" s="5" t="s">
        <v>42</v>
      </c>
      <c r="AI1" s="5" t="s">
        <v>43</v>
      </c>
      <c r="AJ1" s="5" t="s">
        <v>44</v>
      </c>
      <c r="AK1" s="5" t="s">
        <v>45</v>
      </c>
      <c r="AL1" s="5" t="s">
        <v>46</v>
      </c>
    </row>
    <row r="2" spans="1:38" x14ac:dyDescent="0.25">
      <c r="A2" s="6" t="s">
        <v>47</v>
      </c>
      <c r="B2" s="6" t="s">
        <v>48</v>
      </c>
      <c r="C2" s="6" t="s">
        <v>49</v>
      </c>
      <c r="D2" s="7" t="s">
        <v>50</v>
      </c>
      <c r="E2" s="7" t="s">
        <v>50</v>
      </c>
      <c r="F2" s="7">
        <v>7</v>
      </c>
      <c r="G2" s="7" t="s">
        <v>51</v>
      </c>
      <c r="H2" s="7" t="s">
        <v>52</v>
      </c>
      <c r="I2" s="7">
        <v>8.2699999999999996E-2</v>
      </c>
      <c r="J2" s="8">
        <v>120000</v>
      </c>
      <c r="K2" s="7">
        <v>3</v>
      </c>
      <c r="L2" s="8">
        <v>45000</v>
      </c>
      <c r="M2" s="6"/>
      <c r="N2" s="6"/>
      <c r="O2" s="9" t="str">
        <f>IF(TRIM(tblLoans[[#This Row],[out_of_scope_reason]]&amp;"")&lt;&gt;"","SKIPPED",IF(IFERROR(VALUE(LEFT(tblLoans[[#This Row],[Year_made_text]],4))&lt;1998,FALSE),"SKIPPED","REVIEWED"))</f>
        <v>REVIEWED</v>
      </c>
      <c r="P2" s="9" t="str">
        <f>IF(OR(LOWER(TRIM(tblLoans[[#This Row],[Year_tested_text]]&amp;""))={"","-","?","n/a","na","unk","unknown"}),tblLoans[[#This Row],[Year_made_text]],tblLoans[[#This Row],[Year_tested_text]])</f>
        <v>2023-24</v>
      </c>
      <c r="Q2" s="9">
        <f>IFERROR(INDEX(tblRates[rate],MATCH(tblLoans[[#This Row],[Floor_year]],tblRates[year_of_income],0)),"")</f>
        <v>8.2699999999999996E-2</v>
      </c>
      <c r="R2" s="9" t="str">
        <f>IF(OR(LOWER(TRIM(tblLoans[[#This Row],[written_agreement]]&amp;""))={"","-","?","n/a","na","unk","unknown"}),"UNKNOWN",IF(OR(LOWER(TRIM(tblLoans[[#This Row],[written_agreement]]&amp;""))={"1","t","true","y","yes"}),"PASS",IF(OR(LOWER(TRIM(tblLoans[[#This Row],[written_agreement]]&amp;""))={"0","f","false","n","no"}),"FAIL","UNKNOWN")))</f>
        <v>PASS</v>
      </c>
      <c r="S2" s="9" t="str">
        <f>IF(OR(LOWER(TRIM(tblLoans[[#This Row],[terms_in_place_before_lodgment_day]]&amp;""))={"","-","?","n/a","na","unk","unknown"}),"UNKNOWN",IF(OR(LOWER(TRIM(tblLoans[[#This Row],[terms_in_place_before_lodgment_day]]&amp;""))={"1","t","true","y","yes"}),"PASS",IF(OR(LOWER(TRIM(tblLoans[[#This Row],[terms_in_place_before_lodgment_day]]&amp;""))={"0","f","false","n","no"}),"FAIL","UNKNOWN")))</f>
        <v>PASS</v>
      </c>
      <c r="T2" s="9" t="str">
        <f>IF(NOT(ISNUMBER(tblLoans[[#This Row],[interest_rate_for_years_after_year_loan_made]])),"UNKNOWN",IF(tblLoans[[#This Row],[Floor_rate]]="","UNKNOWN",IF(tblLoans[[#This Row],[interest_rate_for_years_after_year_loan_made]]&gt;=tblLoans[[#This Row],[Floor_rate]],"PASS","FAIL")))</f>
        <v>PASS</v>
      </c>
      <c r="U2" s="9" t="str">
        <f>IF(OR(LOWER(TRIM(tblLoans[[#This Row],[secured_by_registered_mortgage_over_real_property]]&amp;""))={"","-","?","n/a","na","unk","unknown"}),"UNKNOWN",IF(OR(LOWER(TRIM(tblLoans[[#This Row],[secured_by_registered_mortgage_over_real_property]]&amp;""))={"1","t","true","y","yes"}),"PASS",IF(OR(LOWER(TRIM(tblLoans[[#This Row],[secured_by_registered_mortgage_over_real_property]]&amp;""))={"0","f","false","n","no"}),"FAIL","UNKNOWN")))</f>
        <v>FAIL</v>
      </c>
      <c r="V2" s="9">
        <f>IF(tblLoans[[#This Row],[Limb_secured]]="FAIL",7,IF(tblLoans[[#This Row],[Limb_secured]]="PASS",IF(ISNUMBER(tblLoans[[#This Row],[security_coverage_at_first_made]]),IF(tblLoans[[#This Row],[security_coverage_at_first_made]]&gt;=1.1,25,7),""),""))</f>
        <v>7</v>
      </c>
      <c r="W2" s="9" t="str">
        <f>IF(NOT(ISNUMBER(tblLoans[[#This Row],[maximum_term_years]])),"UNKNOWN",IF(tblLoans[[#This Row],[Allowed_term_raw]]="",IF(tblLoans[[#This Row],[maximum_term_years]]&lt;=7,"PASS","UNKNOWN"),IF(tblLoans[[#This Row],[maximum_term_years]]&lt;=tblLoans[[#This Row],[Allowed_term_raw]],"PASS","FAIL")))</f>
        <v>PASS</v>
      </c>
      <c r="X2" s="9" t="str">
        <f>IF(tblLoans[[#This Row],[Status]]="SKIPPED","",IF(OR(LOWER(TRIM(tblLoans[[#This Row],[Floor_year]]&amp;""))={"","-","?","n/a","na","unk","unknown"}),"UNKNOWN",IF(OR(tblLoans[[#This Row],[Limb_a_written]]="FAIL",tblLoans[[#This Row],[Limb_lodgment]]="FAIL",tblLoans[[#This Row],[Limb_b_rate]]="FAIL",tblLoans[[#This Row],[Limb_c_term]]="FAIL"),"NOT_COMPLYING",IF(OR(tblLoans[[#This Row],[Limb_a_written]]="UNKNOWN",tblLoans[[#This Row],[Limb_lodgment]]="UNKNOWN",tblLoans[[#This Row],[Limb_b_rate]]="UNKNOWN",tblLoans[[#This Row],[Limb_c_term]]="UNKNOWN"),"UNKNOWN","COMPLYING"))))</f>
        <v>COMPLYING</v>
      </c>
      <c r="Y2" s="9">
        <f>IF(OR(tblLoans[[#This Row],[Status]]="SKIPPED",OR(LOWER(TRIM(tblLoans[[#This Row],[Floor_year]]&amp;""))={"","-","?","n/a","na","unk","unknown"})),"",IF(tblLoans[[#This Row],[Allowed_term_raw]]&lt;&gt;"",tblLoans[[#This Row],[Allowed_term_raw]],IF(AND(ISNUMBER(tblLoans[[#This Row],[maximum_term_years]]),tblLoans[[#This Row],[maximum_term_years]]&lt;=7),7,"")))</f>
        <v>7</v>
      </c>
      <c r="Z2" s="9">
        <f>IF(tblLoans[[#This Row],[Status]]="SKIPPED","",IF(ISNUMBER(tblLoans[[#This Row],[remaining_term_years]]),ROUNDUP(tblLoans[[#This Row],[remaining_term_years]],0),""))</f>
        <v>3</v>
      </c>
      <c r="AA2" s="9">
        <f>IF(AND(ISNUMBER(tblLoans[[#This Row],[amalgamated_loan_unpaid_at_end_of_previous_year]]),ISNUMBER(Summary!$B$3),Summary!$B$3&gt;0,ISNUMBER(tblLoans[[#This Row],[Term_used]]),tblLoans[[#This Row],[Term_used]]&gt;0),ROUND(tblLoans[[#This Row],[amalgamated_loan_unpaid_at_end_of_previous_year]]*Summary!$B$3/(1-(1/(1+Summary!$B$3))^tblLoans[[#This Row],[Term_used]]),2),"")</f>
        <v>47212.37</v>
      </c>
      <c r="AB2" s="9" t="str">
        <f>IF(tblLoans[[#This Row],[Status]]="SKIPPED","",IF(OR(tblLoans[[#This Row],[Gate_verdict]]&lt;&gt;"COMPLYING",AND(NOT(OR(LOWER(TRIM(tblLoans[[#This Row],[Year_made_text]]&amp;""))={"","-","?","n/a","na","unk","unknown"})),tblLoans[[#This Row],[Floor_year]]&lt;&gt;tblLoans[[#This Row],[Year_made_text]]),tblLoans[[#This Row],[Year_made_text]]=Summary!$B$2,IFERROR(VALUE(LEFT(tblLoans[[#This Row],[Year_made_text]],4))&gt;Summary!$B$4,FALSE),AND(ISNUMBER(tblLoans[[#This Row],[Term_used]]),tblLoans[[#This Row],[Term_used]]&lt;=0),AND(ISNUMBER(Summary!$B$3),Summary!$B$3&lt;=0)),"REFUSED",IF(OR(OR(LOWER(TRIM(tblLoans[[#This Row],[Year_made_text]]&amp;""))={"","-","?","n/a","na","unk","unknown"}),NOT(ISNUMBER(Summary!$B$3)),NOT(ISNUMBER(tblLoans[[#This Row],[amalgamated_loan_unpaid_at_end_of_previous_year]])),NOT(ISNUMBER(tblLoans[[#This Row],[payments_applied_during_the_year]])),NOT(ISNUMBER(tblLoans[[#This Row],[Term_used]]))),"UNKNOWN",IF(tblLoans[[#This Row],[MYR_raw]]-ROUND(tblLoans[[#This Row],[payments_applied_during_the_year]],2)&lt;=0,"MYR_MET","MYR_SHORT"))))</f>
        <v>MYR_SHORT</v>
      </c>
      <c r="AC2" s="9" t="str">
        <f>IF(tblLoans[[#This Row],[MYR_verdict]]="REFUSED",IF(tblLoans[[#This Row],[Gate_verdict]]&lt;&gt;"COMPLYING","s 109N gate is "&amp;tblLoans[[#This Row],[Gate_verdict]]&amp;", so s 109E produces no repayment figure",IF(tblLoans[[#This Row],[Floor_year]]&lt;&gt;tblLoans[[#This Row],[Year_made_text]],"gate benchmark year differs from year_loan_made",IF(tblLoans[[#This Row],[Year_made_text]]=Summary!$B$2,"year of income is the year the loan was made (s 109E(1)(a), s 109P)",IF(IFERROR(VALUE(LEFT(tblLoans[[#This Row],[Year_made_text]],4))&gt;Summary!$B$4,FALSE),"loan made after the year of income",IF(AND(ISNUMBER(tblLoans[[#This Row],[Term_used]]),tblLoans[[#This Row],[Term_used]]&lt;=0),"nil remaining term under s 109E(6)","nil benchmark rate"))))),IF(tblLoans[[#This Row],[MYR_verdict]]="UNKNOWN",IF(OR(LOWER(TRIM(tblLoans[[#This Row],[Year_made_text]]&amp;""))={"","-","?","n/a","na","unk","unknown"}),"year_loan_made not established",IF(NOT(ISNUMBER(Summary!$B$3)),"no reviewed benchmark rate for the year of income",IF(NOT(ISNUMBER(tblLoans[[#This Row],[amalgamated_loan_unpaid_at_end_of_previous_year]])),"unpaid balance at end of previous year not established",IF(NOT(ISNUMBER(tblLoans[[#This Row],[payments_applied_during_the_year]])),"payments applied not established","remaining term not established")))),""))</f>
        <v/>
      </c>
      <c r="AD2" s="10">
        <f>IF(OR(tblLoans[[#This Row],[MYR_verdict]]="MYR_MET",tblLoans[[#This Row],[MYR_verdict]]="MYR_SHORT"),tblLoans[[#This Row],[MYR_raw]],"")</f>
        <v>47212.37</v>
      </c>
      <c r="AE2" s="10">
        <f>IF(OR(tblLoans[[#This Row],[MYR_verdict]]="MYR_MET",tblLoans[[#This Row],[MYR_verdict]]="MYR_SHORT"),MAX(0,ROUND(tblLoans[[#This Row],[MYR_raw]]-ROUND(tblLoans[[#This Row],[payments_applied_during_the_year]],2),2)),"")</f>
        <v>2212.37</v>
      </c>
      <c r="AF2" s="10">
        <f>IF(tblLoans[[#This Row],[MYR_verdict]]="MYR_SHORT",tblLoans[[#This Row],[Shortfall]],"")</f>
        <v>2212.37</v>
      </c>
      <c r="AG2" s="9">
        <f>IF(AND(tblLoans[[#This Row],[Status]]="REVIEWED",OR(tblLoans[[#This Row],[Gate_verdict]]="UNKNOWN",tblLoans[[#This Row],[MYR_verdict]]="UNKNOWN")),1,0)</f>
        <v>0</v>
      </c>
      <c r="AH2" s="9">
        <f>IF(OR(_xlfn.ISFORMULA(tblLoans[[#This Row],[loan_id]]),_xlfn.ISFORMULA(tblLoans[[#This Row],[borrower_reference]]),_xlfn.ISFORMULA(tblLoans[[#This Row],[year_loan_made]]),_xlfn.ISFORMULA(tblLoans[[#This Row],[written_agreement]]),_xlfn.ISFORMULA(tblLoans[[#This Row],[terms_in_place_before_lodgment_day]]),_xlfn.ISFORMULA(tblLoans[[#This Row],[maximum_term_years]]),_xlfn.ISFORMULA(tblLoans[[#This Row],[secured_by_registered_mortgage_over_real_property]]),_xlfn.ISFORMULA(tblLoans[[#This Row],[security_coverage_at_first_made]]),_xlfn.ISFORMULA(tblLoans[[#This Row],[interest_rate_for_years_after_year_loan_made]]),_xlfn.ISFORMULA(tblLoans[[#This Row],[amalgamated_loan_unpaid_at_end_of_previous_year]]),_xlfn.ISFORMULA(tblLoans[[#This Row],[remaining_term_years]]),_xlfn.ISFORMULA(tblLoans[[#This Row],[payments_applied_during_the_year]]),_xlfn.ISFORMULA(tblLoans[[#This Row],[out_of_scope_reason]]),_xlfn.ISFORMULA(tblLoans[[#This Row],[year_of_income_being_tested]])),1,0)</f>
        <v>0</v>
      </c>
      <c r="AI2" s="9" t="str">
        <f>IF(TRIM(tblLoans[[#This Row],[out_of_scope_reason]]&amp;"")&lt;&gt;"","",TRIM(IF(OR(AND(NOT(OR(LOWER(TRIM(tblLoans[[#This Row],[Year_made_text]]&amp;""))={"","-","?","n/a","na","unk","unknown"})),NOT(IFERROR(AND(LEN(tblLoans[[#This Row],[Year_made_text]])=7,MID(tblLoans[[#This Row],[Year_made_text]],5,1)="-",ISNUMBER(VALUE(MID(tblLoans[[#This Row],[Year_made_text]],1,1))),ISNUMBER(VALUE(MID(tblLoans[[#This Row],[Year_made_text]],2,1))),ISNUMBER(VALUE(MID(tblLoans[[#This Row],[Year_made_text]],3,1))),ISNUMBER(VALUE(MID(tblLoans[[#This Row],[Year_made_text]],4,1))),ISNUMBER(VALUE(MID(tblLoans[[#This Row],[Year_made_text]],6,1))),ISNUMBER(VALUE(MID(tblLoans[[#This Row],[Year_made_text]],7,1))),VALUE(RIGHT(tblLoans[[#This Row],[Year_made_text]],2))=MOD(VALUE(LEFT(tblLoans[[#This Row],[Year_made_text]],4))+1,100),VALUE(LEFT(tblLoans[[#This Row],[Year_made_text]],4))&gt;=1900,VALUE(LEFT(tblLoans[[#This Row],[Year_made_text]],4))&lt;=2100),FALSE))),AND(tblLoans[[#This Row],[Status]]="REVIEWED",AND(NOT(OR(LOWER(TRIM(tblLoans[[#This Row],[Year_tested_text]]&amp;""))={"","-","?","n/a","na","unk","unknown"})),NOT(IFERROR(AND(LEN(tblLoans[[#This Row],[Year_tested_text]])=7,MID(tblLoans[[#This Row],[Year_tested_text]],5,1)="-",ISNUMBER(VALUE(MID(tblLoans[[#This Row],[Year_tested_text]],1,1))),ISNUMBER(VALUE(MID(tblLoans[[#This Row],[Year_tested_text]],2,1))),ISNUMBER(VALUE(MID(tblLoans[[#This Row],[Year_tested_text]],3,1))),ISNUMBER(VALUE(MID(tblLoans[[#This Row],[Year_tested_text]],4,1))),ISNUMBER(VALUE(MID(tblLoans[[#This Row],[Year_tested_text]],6,1))),ISNUMBER(VALUE(MID(tblLoans[[#This Row],[Year_tested_text]],7,1))),VALUE(RIGHT(tblLoans[[#This Row],[Year_tested_text]],2))=MOD(VALUE(LEFT(tblLoans[[#This Row],[Year_tested_text]],4))+1,100),VALUE(LEFT(tblLoans[[#This Row],[Year_tested_text]],4))&gt;=1900,VALUE(LEFT(tblLoans[[#This Row],[Year_tested_text]],4))&lt;=2100),FALSE))))),"year label ","")&amp;IF(tblLoans[[#This Row],[Status]]&lt;&gt;"REVIEWED","",IF(OR(AND(NOT(OR(LOWER(TRIM(tblLoans[[#This Row],[written_agreement]]&amp;""))={"","-","?","n/a","na","unk","unknown"})),NOT(OR(LOWER(TRIM(tblLoans[[#This Row],[written_agreement]]&amp;""))={"0","1","f","false","n","no","t","true","y","yes"}))),AND(NOT(OR(LOWER(TRIM(tblLoans[[#This Row],[terms_in_place_before_lodgment_day]]&amp;""))={"","-","?","n/a","na","unk","unknown"})),NOT(OR(LOWER(TRIM(tblLoans[[#This Row],[terms_in_place_before_lodgment_day]]&amp;""))={"0","1","f","false","n","no","t","true","y","yes"}))),AND(NOT(OR(LOWER(TRIM(tblLoans[[#This Row],[secured_by_registered_mortgage_over_real_property]]&amp;""))={"","-","?","n/a","na","unk","unknown"})),NOT(OR(LOWER(TRIM(tblLoans[[#This Row],[secured_by_registered_mortgage_over_real_property]]&amp;""))={"0","1","f","false","n","no","t","true","y","yes"})))),"true/false/unknown ","")&amp;IF(OR(AND(NOT(OR(LOWER(TRIM(tblLoans[[#This Row],[maximum_term_years]]&amp;""))={"","-","?","n/a","na","unk","unknown"})),OR(NOT(ISNUMBER(tblLoans[[#This Row],[maximum_term_years]])),AND(ISNUMBER(tblLoans[[#This Row],[maximum_term_years]]),OR(tblLoans[[#This Row],[maximum_term_years]]&lt;0)))),AND(NOT(OR(LOWER(TRIM(tblLoans[[#This Row],[security_coverage_at_first_made]]&amp;""))={"","-","?","n/a","na","unk","unknown"})),OR(NOT(ISNUMBER(tblLoans[[#This Row],[security_coverage_at_first_made]])),AND(ISNUMBER(tblLoans[[#This Row],[security_coverage_at_first_made]]),OR(tblLoans[[#This Row],[security_coverage_at_first_made]]&lt;0)))),AND(NOT(OR(LOWER(TRIM(tblLoans[[#This Row],[interest_rate_for_years_after_year_loan_made]]&amp;""))={"","-","?","n/a","na","unk","unknown"})),OR(NOT(ISNUMBER(tblLoans[[#This Row],[interest_rate_for_years_after_year_loan_made]])),AND(ISNUMBER(tblLoans[[#This Row],[interest_rate_for_years_after_year_loan_made]]),OR(tblLoans[[#This Row],[interest_rate_for_years_after_year_loan_made]]&lt;0,tblLoans[[#This Row],[interest_rate_for_years_after_year_loan_made]]&gt;1)))),AND(NOT(OR(LOWER(TRIM(tblLoans[[#This Row],[amalgamated_loan_unpaid_at_end_of_previous_year]]&amp;""))={"","-","?","n/a","na","unk","unknown"})),OR(NOT(ISNUMBER(tblLoans[[#This Row],[amalgamated_loan_unpaid_at_end_of_previous_year]])),AND(ISNUMBER(tblLoans[[#This Row],[amalgamated_loan_unpaid_at_end_of_previous_year]]),OR(tblLoans[[#This Row],[amalgamated_loan_unpaid_at_end_of_previous_year]]&lt;0,ROUND(N(tblLoans[[#This Row],[amalgamated_loan_unpaid_at_end_of_previous_year]]),2)&lt;&gt;N(tblLoans[[#This Row],[amalgamated_loan_unpaid_at_end_of_previous_year]]),N(tblLoans[[#This Row],[amalgamated_loan_unpaid_at_end_of_previous_year]])&gt;1000000000000)))),AND(NOT(OR(LOWER(TRIM(tblLoans[[#This Row],[remaining_term_years]]&amp;""))={"","-","?","n/a","na","unk","unknown"})),OR(NOT(ISNUMBER(tblLoans[[#This Row],[remaining_term_years]])),AND(ISNUMBER(tblLoans[[#This Row],[remaining_term_years]]),OR(tblLoans[[#This Row],[remaining_term_years]]&lt;0)))),AND(NOT(OR(LOWER(TRIM(tblLoans[[#This Row],[payments_applied_during_the_year]]&amp;""))={"","-","?","n/a","na","unk","unknown"})),OR(NOT(ISNUMBER(tblLoans[[#This Row],[payments_applied_during_the_year]])),AND(ISNUMBER(tblLoans[[#This Row],[payments_applied_during_the_year]]),OR(tblLoans[[#This Row],[payments_applied_during_the_year]]&lt;0,ROUND(N(tblLoans[[#This Row],[payments_applied_during_the_year]]),2)&lt;&gt;N(tblLoans[[#This Row],[payments_applied_during_the_year]]),N(tblLoans[[#This Row],[payments_applied_during_the_year]])&gt;1000000000000))))),"number ",""))))</f>
        <v/>
      </c>
      <c r="AJ2" s="9">
        <f>IF(SUMPRODUCT((tblLoans[[#This Row],[loan_id]]&amp;""={"L-101","L-102","L-103","L-104","L-105","L-106","L-107","L-108"})*(tblLoans[[#This Row],[Year_made_text]]&amp;""={"2023-24","2022-23","2021-22","2024-25","2019-20","2020-21","2023-24","1996-97"}))&gt;0,1,0)</f>
        <v>1</v>
      </c>
      <c r="AK2" s="9" t="str">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Row],[year_loan_made]]&amp;"",_xlfn.UNICHAR(9),"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f>
        <v>2023-24</v>
      </c>
      <c r="AL2" s="9" t="str">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Row],[year_of_income_being_tested]]&amp;"",_xlfn.UNICHAR(9),"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f>
        <v/>
      </c>
    </row>
    <row r="3" spans="1:38" x14ac:dyDescent="0.25">
      <c r="A3" s="6" t="s">
        <v>53</v>
      </c>
      <c r="B3" s="6" t="s">
        <v>54</v>
      </c>
      <c r="C3" s="6" t="s">
        <v>55</v>
      </c>
      <c r="D3" s="7" t="s">
        <v>50</v>
      </c>
      <c r="E3" s="7" t="s">
        <v>50</v>
      </c>
      <c r="F3" s="7">
        <v>7</v>
      </c>
      <c r="G3" s="7" t="s">
        <v>51</v>
      </c>
      <c r="H3" s="7" t="s">
        <v>52</v>
      </c>
      <c r="I3" s="7">
        <v>0.04</v>
      </c>
      <c r="J3" s="8">
        <v>90000</v>
      </c>
      <c r="K3" s="7">
        <v>4</v>
      </c>
      <c r="L3" s="8">
        <v>20000</v>
      </c>
      <c r="M3" s="6"/>
      <c r="N3" s="6"/>
      <c r="O3" s="9" t="str">
        <f>IF(TRIM(tblLoans[[#This Row],[out_of_scope_reason]]&amp;"")&lt;&gt;"","SKIPPED",IF(IFERROR(VALUE(LEFT(tblLoans[[#This Row],[Year_made_text]],4))&lt;1998,FALSE),"SKIPPED","REVIEWED"))</f>
        <v>REVIEWED</v>
      </c>
      <c r="P3" s="9" t="str">
        <f>IF(OR(LOWER(TRIM(tblLoans[[#This Row],[Year_tested_text]]&amp;""))={"","-","?","n/a","na","unk","unknown"}),tblLoans[[#This Row],[Year_made_text]],tblLoans[[#This Row],[Year_tested_text]])</f>
        <v>2022-23</v>
      </c>
      <c r="Q3" s="9">
        <f>IFERROR(INDEX(tblRates[rate],MATCH(tblLoans[[#This Row],[Floor_year]],tblRates[year_of_income],0)),"")</f>
        <v>4.7699999999999999E-2</v>
      </c>
      <c r="R3" s="9" t="str">
        <f>IF(OR(LOWER(TRIM(tblLoans[[#This Row],[written_agreement]]&amp;""))={"","-","?","n/a","na","unk","unknown"}),"UNKNOWN",IF(OR(LOWER(TRIM(tblLoans[[#This Row],[written_agreement]]&amp;""))={"1","t","true","y","yes"}),"PASS",IF(OR(LOWER(TRIM(tblLoans[[#This Row],[written_agreement]]&amp;""))={"0","f","false","n","no"}),"FAIL","UNKNOWN")))</f>
        <v>PASS</v>
      </c>
      <c r="S3" s="9" t="str">
        <f>IF(OR(LOWER(TRIM(tblLoans[[#This Row],[terms_in_place_before_lodgment_day]]&amp;""))={"","-","?","n/a","na","unk","unknown"}),"UNKNOWN",IF(OR(LOWER(TRIM(tblLoans[[#This Row],[terms_in_place_before_lodgment_day]]&amp;""))={"1","t","true","y","yes"}),"PASS",IF(OR(LOWER(TRIM(tblLoans[[#This Row],[terms_in_place_before_lodgment_day]]&amp;""))={"0","f","false","n","no"}),"FAIL","UNKNOWN")))</f>
        <v>PASS</v>
      </c>
      <c r="T3" s="9" t="str">
        <f>IF(NOT(ISNUMBER(tblLoans[[#This Row],[interest_rate_for_years_after_year_loan_made]])),"UNKNOWN",IF(tblLoans[[#This Row],[Floor_rate]]="","UNKNOWN",IF(tblLoans[[#This Row],[interest_rate_for_years_after_year_loan_made]]&gt;=tblLoans[[#This Row],[Floor_rate]],"PASS","FAIL")))</f>
        <v>FAIL</v>
      </c>
      <c r="U3" s="9" t="str">
        <f>IF(OR(LOWER(TRIM(tblLoans[[#This Row],[secured_by_registered_mortgage_over_real_property]]&amp;""))={"","-","?","n/a","na","unk","unknown"}),"UNKNOWN",IF(OR(LOWER(TRIM(tblLoans[[#This Row],[secured_by_registered_mortgage_over_real_property]]&amp;""))={"1","t","true","y","yes"}),"PASS",IF(OR(LOWER(TRIM(tblLoans[[#This Row],[secured_by_registered_mortgage_over_real_property]]&amp;""))={"0","f","false","n","no"}),"FAIL","UNKNOWN")))</f>
        <v>FAIL</v>
      </c>
      <c r="V3" s="9">
        <f>IF(tblLoans[[#This Row],[Limb_secured]]="FAIL",7,IF(tblLoans[[#This Row],[Limb_secured]]="PASS",IF(ISNUMBER(tblLoans[[#This Row],[security_coverage_at_first_made]]),IF(tblLoans[[#This Row],[security_coverage_at_first_made]]&gt;=1.1,25,7),""),""))</f>
        <v>7</v>
      </c>
      <c r="W3" s="9" t="str">
        <f>IF(NOT(ISNUMBER(tblLoans[[#This Row],[maximum_term_years]])),"UNKNOWN",IF(tblLoans[[#This Row],[Allowed_term_raw]]="",IF(tblLoans[[#This Row],[maximum_term_years]]&lt;=7,"PASS","UNKNOWN"),IF(tblLoans[[#This Row],[maximum_term_years]]&lt;=tblLoans[[#This Row],[Allowed_term_raw]],"PASS","FAIL")))</f>
        <v>PASS</v>
      </c>
      <c r="X3" s="9" t="str">
        <f>IF(tblLoans[[#This Row],[Status]]="SKIPPED","",IF(OR(LOWER(TRIM(tblLoans[[#This Row],[Floor_year]]&amp;""))={"","-","?","n/a","na","unk","unknown"}),"UNKNOWN",IF(OR(tblLoans[[#This Row],[Limb_a_written]]="FAIL",tblLoans[[#This Row],[Limb_lodgment]]="FAIL",tblLoans[[#This Row],[Limb_b_rate]]="FAIL",tblLoans[[#This Row],[Limb_c_term]]="FAIL"),"NOT_COMPLYING",IF(OR(tblLoans[[#This Row],[Limb_a_written]]="UNKNOWN",tblLoans[[#This Row],[Limb_lodgment]]="UNKNOWN",tblLoans[[#This Row],[Limb_b_rate]]="UNKNOWN",tblLoans[[#This Row],[Limb_c_term]]="UNKNOWN"),"UNKNOWN","COMPLYING"))))</f>
        <v>NOT_COMPLYING</v>
      </c>
      <c r="Y3" s="9">
        <f>IF(OR(tblLoans[[#This Row],[Status]]="SKIPPED",OR(LOWER(TRIM(tblLoans[[#This Row],[Floor_year]]&amp;""))={"","-","?","n/a","na","unk","unknown"})),"",IF(tblLoans[[#This Row],[Allowed_term_raw]]&lt;&gt;"",tblLoans[[#This Row],[Allowed_term_raw]],IF(AND(ISNUMBER(tblLoans[[#This Row],[maximum_term_years]]),tblLoans[[#This Row],[maximum_term_years]]&lt;=7),7,"")))</f>
        <v>7</v>
      </c>
      <c r="Z3" s="9">
        <f>IF(tblLoans[[#This Row],[Status]]="SKIPPED","",IF(ISNUMBER(tblLoans[[#This Row],[remaining_term_years]]),ROUNDUP(tblLoans[[#This Row],[remaining_term_years]],0),""))</f>
        <v>4</v>
      </c>
      <c r="AA3" s="9">
        <f>IF(AND(ISNUMBER(tblLoans[[#This Row],[amalgamated_loan_unpaid_at_end_of_previous_year]]),ISNUMBER(Summary!$B$3),Summary!$B$3&gt;0,ISNUMBER(tblLoans[[#This Row],[Term_used]]),tblLoans[[#This Row],[Term_used]]&gt;0),ROUND(tblLoans[[#This Row],[amalgamated_loan_unpaid_at_end_of_previous_year]]*Summary!$B$3/(1-(1/(1+Summary!$B$3))^tblLoans[[#This Row],[Term_used]]),2),"")</f>
        <v>27640.06</v>
      </c>
      <c r="AB3" s="9" t="str">
        <f>IF(tblLoans[[#This Row],[Status]]="SKIPPED","",IF(OR(tblLoans[[#This Row],[Gate_verdict]]&lt;&gt;"COMPLYING",AND(NOT(OR(LOWER(TRIM(tblLoans[[#This Row],[Year_made_text]]&amp;""))={"","-","?","n/a","na","unk","unknown"})),tblLoans[[#This Row],[Floor_year]]&lt;&gt;tblLoans[[#This Row],[Year_made_text]]),tblLoans[[#This Row],[Year_made_text]]=Summary!$B$2,IFERROR(VALUE(LEFT(tblLoans[[#This Row],[Year_made_text]],4))&gt;Summary!$B$4,FALSE),AND(ISNUMBER(tblLoans[[#This Row],[Term_used]]),tblLoans[[#This Row],[Term_used]]&lt;=0),AND(ISNUMBER(Summary!$B$3),Summary!$B$3&lt;=0)),"REFUSED",IF(OR(OR(LOWER(TRIM(tblLoans[[#This Row],[Year_made_text]]&amp;""))={"","-","?","n/a","na","unk","unknown"}),NOT(ISNUMBER(Summary!$B$3)),NOT(ISNUMBER(tblLoans[[#This Row],[amalgamated_loan_unpaid_at_end_of_previous_year]])),NOT(ISNUMBER(tblLoans[[#This Row],[payments_applied_during_the_year]])),NOT(ISNUMBER(tblLoans[[#This Row],[Term_used]]))),"UNKNOWN",IF(tblLoans[[#This Row],[MYR_raw]]-ROUND(tblLoans[[#This Row],[payments_applied_during_the_year]],2)&lt;=0,"MYR_MET","MYR_SHORT"))))</f>
        <v>REFUSED</v>
      </c>
      <c r="AC3" s="9" t="str">
        <f>IF(tblLoans[[#This Row],[MYR_verdict]]="REFUSED",IF(tblLoans[[#This Row],[Gate_verdict]]&lt;&gt;"COMPLYING","s 109N gate is "&amp;tblLoans[[#This Row],[Gate_verdict]]&amp;", so s 109E produces no repayment figure",IF(tblLoans[[#This Row],[Floor_year]]&lt;&gt;tblLoans[[#This Row],[Year_made_text]],"gate benchmark year differs from year_loan_made",IF(tblLoans[[#This Row],[Year_made_text]]=Summary!$B$2,"year of income is the year the loan was made (s 109E(1)(a), s 109P)",IF(IFERROR(VALUE(LEFT(tblLoans[[#This Row],[Year_made_text]],4))&gt;Summary!$B$4,FALSE),"loan made after the year of income",IF(AND(ISNUMBER(tblLoans[[#This Row],[Term_used]]),tblLoans[[#This Row],[Term_used]]&lt;=0),"nil remaining term under s 109E(6)","nil benchmark rate"))))),IF(tblLoans[[#This Row],[MYR_verdict]]="UNKNOWN",IF(OR(LOWER(TRIM(tblLoans[[#This Row],[Year_made_text]]&amp;""))={"","-","?","n/a","na","unk","unknown"}),"year_loan_made not established",IF(NOT(ISNUMBER(Summary!$B$3)),"no reviewed benchmark rate for the year of income",IF(NOT(ISNUMBER(tblLoans[[#This Row],[amalgamated_loan_unpaid_at_end_of_previous_year]])),"unpaid balance at end of previous year not established",IF(NOT(ISNUMBER(tblLoans[[#This Row],[payments_applied_during_the_year]])),"payments applied not established","remaining term not established")))),""))</f>
        <v>s 109N gate is NOT_COMPLYING, so s 109E produces no repayment figure</v>
      </c>
      <c r="AD3" s="10" t="str">
        <f>IF(OR(tblLoans[[#This Row],[MYR_verdict]]="MYR_MET",tblLoans[[#This Row],[MYR_verdict]]="MYR_SHORT"),tblLoans[[#This Row],[MYR_raw]],"")</f>
        <v/>
      </c>
      <c r="AE3" s="10" t="str">
        <f>IF(OR(tblLoans[[#This Row],[MYR_verdict]]="MYR_MET",tblLoans[[#This Row],[MYR_verdict]]="MYR_SHORT"),MAX(0,ROUND(tblLoans[[#This Row],[MYR_raw]]-ROUND(tblLoans[[#This Row],[payments_applied_during_the_year]],2),2)),"")</f>
        <v/>
      </c>
      <c r="AF3" s="10" t="str">
        <f>IF(tblLoans[[#This Row],[MYR_verdict]]="MYR_SHORT",tblLoans[[#This Row],[Shortfall]],"")</f>
        <v/>
      </c>
      <c r="AG3" s="9">
        <f>IF(AND(tblLoans[[#This Row],[Status]]="REVIEWED",OR(tblLoans[[#This Row],[Gate_verdict]]="UNKNOWN",tblLoans[[#This Row],[MYR_verdict]]="UNKNOWN")),1,0)</f>
        <v>0</v>
      </c>
      <c r="AH3" s="9">
        <f>IF(OR(_xlfn.ISFORMULA(tblLoans[[#This Row],[loan_id]]),_xlfn.ISFORMULA(tblLoans[[#This Row],[borrower_reference]]),_xlfn.ISFORMULA(tblLoans[[#This Row],[year_loan_made]]),_xlfn.ISFORMULA(tblLoans[[#This Row],[written_agreement]]),_xlfn.ISFORMULA(tblLoans[[#This Row],[terms_in_place_before_lodgment_day]]),_xlfn.ISFORMULA(tblLoans[[#This Row],[maximum_term_years]]),_xlfn.ISFORMULA(tblLoans[[#This Row],[secured_by_registered_mortgage_over_real_property]]),_xlfn.ISFORMULA(tblLoans[[#This Row],[security_coverage_at_first_made]]),_xlfn.ISFORMULA(tblLoans[[#This Row],[interest_rate_for_years_after_year_loan_made]]),_xlfn.ISFORMULA(tblLoans[[#This Row],[amalgamated_loan_unpaid_at_end_of_previous_year]]),_xlfn.ISFORMULA(tblLoans[[#This Row],[remaining_term_years]]),_xlfn.ISFORMULA(tblLoans[[#This Row],[payments_applied_during_the_year]]),_xlfn.ISFORMULA(tblLoans[[#This Row],[out_of_scope_reason]]),_xlfn.ISFORMULA(tblLoans[[#This Row],[year_of_income_being_tested]])),1,0)</f>
        <v>0</v>
      </c>
      <c r="AI3" s="9" t="str">
        <f>IF(TRIM(tblLoans[[#This Row],[out_of_scope_reason]]&amp;"")&lt;&gt;"","",TRIM(IF(OR(AND(NOT(OR(LOWER(TRIM(tblLoans[[#This Row],[Year_made_text]]&amp;""))={"","-","?","n/a","na","unk","unknown"})),NOT(IFERROR(AND(LEN(tblLoans[[#This Row],[Year_made_text]])=7,MID(tblLoans[[#This Row],[Year_made_text]],5,1)="-",ISNUMBER(VALUE(MID(tblLoans[[#This Row],[Year_made_text]],1,1))),ISNUMBER(VALUE(MID(tblLoans[[#This Row],[Year_made_text]],2,1))),ISNUMBER(VALUE(MID(tblLoans[[#This Row],[Year_made_text]],3,1))),ISNUMBER(VALUE(MID(tblLoans[[#This Row],[Year_made_text]],4,1))),ISNUMBER(VALUE(MID(tblLoans[[#This Row],[Year_made_text]],6,1))),ISNUMBER(VALUE(MID(tblLoans[[#This Row],[Year_made_text]],7,1))),VALUE(RIGHT(tblLoans[[#This Row],[Year_made_text]],2))=MOD(VALUE(LEFT(tblLoans[[#This Row],[Year_made_text]],4))+1,100),VALUE(LEFT(tblLoans[[#This Row],[Year_made_text]],4))&gt;=1900,VALUE(LEFT(tblLoans[[#This Row],[Year_made_text]],4))&lt;=2100),FALSE))),AND(tblLoans[[#This Row],[Status]]="REVIEWED",AND(NOT(OR(LOWER(TRIM(tblLoans[[#This Row],[Year_tested_text]]&amp;""))={"","-","?","n/a","na","unk","unknown"})),NOT(IFERROR(AND(LEN(tblLoans[[#This Row],[Year_tested_text]])=7,MID(tblLoans[[#This Row],[Year_tested_text]],5,1)="-",ISNUMBER(VALUE(MID(tblLoans[[#This Row],[Year_tested_text]],1,1))),ISNUMBER(VALUE(MID(tblLoans[[#This Row],[Year_tested_text]],2,1))),ISNUMBER(VALUE(MID(tblLoans[[#This Row],[Year_tested_text]],3,1))),ISNUMBER(VALUE(MID(tblLoans[[#This Row],[Year_tested_text]],4,1))),ISNUMBER(VALUE(MID(tblLoans[[#This Row],[Year_tested_text]],6,1))),ISNUMBER(VALUE(MID(tblLoans[[#This Row],[Year_tested_text]],7,1))),VALUE(RIGHT(tblLoans[[#This Row],[Year_tested_text]],2))=MOD(VALUE(LEFT(tblLoans[[#This Row],[Year_tested_text]],4))+1,100),VALUE(LEFT(tblLoans[[#This Row],[Year_tested_text]],4))&gt;=1900,VALUE(LEFT(tblLoans[[#This Row],[Year_tested_text]],4))&lt;=2100),FALSE))))),"year label ","")&amp;IF(tblLoans[[#This Row],[Status]]&lt;&gt;"REVIEWED","",IF(OR(AND(NOT(OR(LOWER(TRIM(tblLoans[[#This Row],[written_agreement]]&amp;""))={"","-","?","n/a","na","unk","unknown"})),NOT(OR(LOWER(TRIM(tblLoans[[#This Row],[written_agreement]]&amp;""))={"0","1","f","false","n","no","t","true","y","yes"}))),AND(NOT(OR(LOWER(TRIM(tblLoans[[#This Row],[terms_in_place_before_lodgment_day]]&amp;""))={"","-","?","n/a","na","unk","unknown"})),NOT(OR(LOWER(TRIM(tblLoans[[#This Row],[terms_in_place_before_lodgment_day]]&amp;""))={"0","1","f","false","n","no","t","true","y","yes"}))),AND(NOT(OR(LOWER(TRIM(tblLoans[[#This Row],[secured_by_registered_mortgage_over_real_property]]&amp;""))={"","-","?","n/a","na","unk","unknown"})),NOT(OR(LOWER(TRIM(tblLoans[[#This Row],[secured_by_registered_mortgage_over_real_property]]&amp;""))={"0","1","f","false","n","no","t","true","y","yes"})))),"true/false/unknown ","")&amp;IF(OR(AND(NOT(OR(LOWER(TRIM(tblLoans[[#This Row],[maximum_term_years]]&amp;""))={"","-","?","n/a","na","unk","unknown"})),OR(NOT(ISNUMBER(tblLoans[[#This Row],[maximum_term_years]])),AND(ISNUMBER(tblLoans[[#This Row],[maximum_term_years]]),OR(tblLoans[[#This Row],[maximum_term_years]]&lt;0)))),AND(NOT(OR(LOWER(TRIM(tblLoans[[#This Row],[security_coverage_at_first_made]]&amp;""))={"","-","?","n/a","na","unk","unknown"})),OR(NOT(ISNUMBER(tblLoans[[#This Row],[security_coverage_at_first_made]])),AND(ISNUMBER(tblLoans[[#This Row],[security_coverage_at_first_made]]),OR(tblLoans[[#This Row],[security_coverage_at_first_made]]&lt;0)))),AND(NOT(OR(LOWER(TRIM(tblLoans[[#This Row],[interest_rate_for_years_after_year_loan_made]]&amp;""))={"","-","?","n/a","na","unk","unknown"})),OR(NOT(ISNUMBER(tblLoans[[#This Row],[interest_rate_for_years_after_year_loan_made]])),AND(ISNUMBER(tblLoans[[#This Row],[interest_rate_for_years_after_year_loan_made]]),OR(tblLoans[[#This Row],[interest_rate_for_years_after_year_loan_made]]&lt;0,tblLoans[[#This Row],[interest_rate_for_years_after_year_loan_made]]&gt;1)))),AND(NOT(OR(LOWER(TRIM(tblLoans[[#This Row],[amalgamated_loan_unpaid_at_end_of_previous_year]]&amp;""))={"","-","?","n/a","na","unk","unknown"})),OR(NOT(ISNUMBER(tblLoans[[#This Row],[amalgamated_loan_unpaid_at_end_of_previous_year]])),AND(ISNUMBER(tblLoans[[#This Row],[amalgamated_loan_unpaid_at_end_of_previous_year]]),OR(tblLoans[[#This Row],[amalgamated_loan_unpaid_at_end_of_previous_year]]&lt;0,ROUND(N(tblLoans[[#This Row],[amalgamated_loan_unpaid_at_end_of_previous_year]]),2)&lt;&gt;N(tblLoans[[#This Row],[amalgamated_loan_unpaid_at_end_of_previous_year]]),N(tblLoans[[#This Row],[amalgamated_loan_unpaid_at_end_of_previous_year]])&gt;1000000000000)))),AND(NOT(OR(LOWER(TRIM(tblLoans[[#This Row],[remaining_term_years]]&amp;""))={"","-","?","n/a","na","unk","unknown"})),OR(NOT(ISNUMBER(tblLoans[[#This Row],[remaining_term_years]])),AND(ISNUMBER(tblLoans[[#This Row],[remaining_term_years]]),OR(tblLoans[[#This Row],[remaining_term_years]]&lt;0)))),AND(NOT(OR(LOWER(TRIM(tblLoans[[#This Row],[payments_applied_during_the_year]]&amp;""))={"","-","?","n/a","na","unk","unknown"})),OR(NOT(ISNUMBER(tblLoans[[#This Row],[payments_applied_during_the_year]])),AND(ISNUMBER(tblLoans[[#This Row],[payments_applied_during_the_year]]),OR(tblLoans[[#This Row],[payments_applied_during_the_year]]&lt;0,ROUND(N(tblLoans[[#This Row],[payments_applied_during_the_year]]),2)&lt;&gt;N(tblLoans[[#This Row],[payments_applied_during_the_year]]),N(tblLoans[[#This Row],[payments_applied_during_the_year]])&gt;1000000000000))))),"number ",""))))</f>
        <v/>
      </c>
      <c r="AJ3" s="9">
        <f>IF(SUMPRODUCT((tblLoans[[#This Row],[loan_id]]&amp;""={"L-101","L-102","L-103","L-104","L-105","L-106","L-107","L-108"})*(tblLoans[[#This Row],[Year_made_text]]&amp;""={"2023-24","2022-23","2021-22","2024-25","2019-20","2020-21","2023-24","1996-97"}))&gt;0,1,0)</f>
        <v>1</v>
      </c>
      <c r="AK3" s="9" t="str">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Row],[year_loan_made]]&amp;"",_xlfn.UNICHAR(9),"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f>
        <v>2022-23</v>
      </c>
      <c r="AL3" s="9" t="str">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Row],[year_of_income_being_tested]]&amp;"",_xlfn.UNICHAR(9),"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f>
        <v/>
      </c>
    </row>
    <row r="4" spans="1:38" x14ac:dyDescent="0.25">
      <c r="A4" s="6" t="s">
        <v>56</v>
      </c>
      <c r="B4" s="6" t="s">
        <v>57</v>
      </c>
      <c r="C4" s="6" t="s">
        <v>58</v>
      </c>
      <c r="D4" s="7" t="s">
        <v>52</v>
      </c>
      <c r="E4" s="7" t="s">
        <v>50</v>
      </c>
      <c r="F4" s="7">
        <v>7</v>
      </c>
      <c r="G4" s="7" t="s">
        <v>51</v>
      </c>
      <c r="H4" s="7" t="s">
        <v>52</v>
      </c>
      <c r="I4" s="7">
        <v>4.5199999999999997E-2</v>
      </c>
      <c r="J4" s="8">
        <v>50000</v>
      </c>
      <c r="K4" s="7">
        <v>2</v>
      </c>
      <c r="L4" s="8">
        <v>15000</v>
      </c>
      <c r="M4" s="6"/>
      <c r="N4" s="6"/>
      <c r="O4" s="9" t="str">
        <f>IF(TRIM(tblLoans[[#This Row],[out_of_scope_reason]]&amp;"")&lt;&gt;"","SKIPPED",IF(IFERROR(VALUE(LEFT(tblLoans[[#This Row],[Year_made_text]],4))&lt;1998,FALSE),"SKIPPED","REVIEWED"))</f>
        <v>REVIEWED</v>
      </c>
      <c r="P4" s="9" t="str">
        <f>IF(OR(LOWER(TRIM(tblLoans[[#This Row],[Year_tested_text]]&amp;""))={"","-","?","n/a","na","unk","unknown"}),tblLoans[[#This Row],[Year_made_text]],tblLoans[[#This Row],[Year_tested_text]])</f>
        <v>2021-22</v>
      </c>
      <c r="Q4" s="9">
        <f>IFERROR(INDEX(tblRates[rate],MATCH(tblLoans[[#This Row],[Floor_year]],tblRates[year_of_income],0)),"")</f>
        <v>4.5199999999999997E-2</v>
      </c>
      <c r="R4" s="9" t="str">
        <f>IF(OR(LOWER(TRIM(tblLoans[[#This Row],[written_agreement]]&amp;""))={"","-","?","n/a","na","unk","unknown"}),"UNKNOWN",IF(OR(LOWER(TRIM(tblLoans[[#This Row],[written_agreement]]&amp;""))={"1","t","true","y","yes"}),"PASS",IF(OR(LOWER(TRIM(tblLoans[[#This Row],[written_agreement]]&amp;""))={"0","f","false","n","no"}),"FAIL","UNKNOWN")))</f>
        <v>UNKNOWN</v>
      </c>
      <c r="S4" s="9" t="str">
        <f>IF(OR(LOWER(TRIM(tblLoans[[#This Row],[terms_in_place_before_lodgment_day]]&amp;""))={"","-","?","n/a","na","unk","unknown"}),"UNKNOWN",IF(OR(LOWER(TRIM(tblLoans[[#This Row],[terms_in_place_before_lodgment_day]]&amp;""))={"1","t","true","y","yes"}),"PASS",IF(OR(LOWER(TRIM(tblLoans[[#This Row],[terms_in_place_before_lodgment_day]]&amp;""))={"0","f","false","n","no"}),"FAIL","UNKNOWN")))</f>
        <v>PASS</v>
      </c>
      <c r="T4" s="9" t="str">
        <f>IF(NOT(ISNUMBER(tblLoans[[#This Row],[interest_rate_for_years_after_year_loan_made]])),"UNKNOWN",IF(tblLoans[[#This Row],[Floor_rate]]="","UNKNOWN",IF(tblLoans[[#This Row],[interest_rate_for_years_after_year_loan_made]]&gt;=tblLoans[[#This Row],[Floor_rate]],"PASS","FAIL")))</f>
        <v>PASS</v>
      </c>
      <c r="U4" s="9" t="str">
        <f>IF(OR(LOWER(TRIM(tblLoans[[#This Row],[secured_by_registered_mortgage_over_real_property]]&amp;""))={"","-","?","n/a","na","unk","unknown"}),"UNKNOWN",IF(OR(LOWER(TRIM(tblLoans[[#This Row],[secured_by_registered_mortgage_over_real_property]]&amp;""))={"1","t","true","y","yes"}),"PASS",IF(OR(LOWER(TRIM(tblLoans[[#This Row],[secured_by_registered_mortgage_over_real_property]]&amp;""))={"0","f","false","n","no"}),"FAIL","UNKNOWN")))</f>
        <v>FAIL</v>
      </c>
      <c r="V4" s="9">
        <f>IF(tblLoans[[#This Row],[Limb_secured]]="FAIL",7,IF(tblLoans[[#This Row],[Limb_secured]]="PASS",IF(ISNUMBER(tblLoans[[#This Row],[security_coverage_at_first_made]]),IF(tblLoans[[#This Row],[security_coverage_at_first_made]]&gt;=1.1,25,7),""),""))</f>
        <v>7</v>
      </c>
      <c r="W4" s="9" t="str">
        <f>IF(NOT(ISNUMBER(tblLoans[[#This Row],[maximum_term_years]])),"UNKNOWN",IF(tblLoans[[#This Row],[Allowed_term_raw]]="",IF(tblLoans[[#This Row],[maximum_term_years]]&lt;=7,"PASS","UNKNOWN"),IF(tblLoans[[#This Row],[maximum_term_years]]&lt;=tblLoans[[#This Row],[Allowed_term_raw]],"PASS","FAIL")))</f>
        <v>PASS</v>
      </c>
      <c r="X4" s="9" t="str">
        <f>IF(tblLoans[[#This Row],[Status]]="SKIPPED","",IF(OR(LOWER(TRIM(tblLoans[[#This Row],[Floor_year]]&amp;""))={"","-","?","n/a","na","unk","unknown"}),"UNKNOWN",IF(OR(tblLoans[[#This Row],[Limb_a_written]]="FAIL",tblLoans[[#This Row],[Limb_lodgment]]="FAIL",tblLoans[[#This Row],[Limb_b_rate]]="FAIL",tblLoans[[#This Row],[Limb_c_term]]="FAIL"),"NOT_COMPLYING",IF(OR(tblLoans[[#This Row],[Limb_a_written]]="UNKNOWN",tblLoans[[#This Row],[Limb_lodgment]]="UNKNOWN",tblLoans[[#This Row],[Limb_b_rate]]="UNKNOWN",tblLoans[[#This Row],[Limb_c_term]]="UNKNOWN"),"UNKNOWN","COMPLYING"))))</f>
        <v>UNKNOWN</v>
      </c>
      <c r="Y4" s="9">
        <f>IF(OR(tblLoans[[#This Row],[Status]]="SKIPPED",OR(LOWER(TRIM(tblLoans[[#This Row],[Floor_year]]&amp;""))={"","-","?","n/a","na","unk","unknown"})),"",IF(tblLoans[[#This Row],[Allowed_term_raw]]&lt;&gt;"",tblLoans[[#This Row],[Allowed_term_raw]],IF(AND(ISNUMBER(tblLoans[[#This Row],[maximum_term_years]]),tblLoans[[#This Row],[maximum_term_years]]&lt;=7),7,"")))</f>
        <v>7</v>
      </c>
      <c r="Z4" s="9">
        <f>IF(tblLoans[[#This Row],[Status]]="SKIPPED","",IF(ISNUMBER(tblLoans[[#This Row],[remaining_term_years]]),ROUNDUP(tblLoans[[#This Row],[remaining_term_years]],0),""))</f>
        <v>2</v>
      </c>
      <c r="AA4" s="9">
        <f>IF(AND(ISNUMBER(tblLoans[[#This Row],[amalgamated_loan_unpaid_at_end_of_previous_year]]),ISNUMBER(Summary!$B$3),Summary!$B$3&gt;0,ISNUMBER(tblLoans[[#This Row],[Term_used]]),tblLoans[[#This Row],[Term_used]]&gt;0),ROUND(tblLoans[[#This Row],[amalgamated_loan_unpaid_at_end_of_previous_year]]*Summary!$B$3/(1-(1/(1+Summary!$B$3))^tblLoans[[#This Row],[Term_used]]),2),"")</f>
        <v>28334.799999999999</v>
      </c>
      <c r="AB4" s="9" t="str">
        <f>IF(tblLoans[[#This Row],[Status]]="SKIPPED","",IF(OR(tblLoans[[#This Row],[Gate_verdict]]&lt;&gt;"COMPLYING",AND(NOT(OR(LOWER(TRIM(tblLoans[[#This Row],[Year_made_text]]&amp;""))={"","-","?","n/a","na","unk","unknown"})),tblLoans[[#This Row],[Floor_year]]&lt;&gt;tblLoans[[#This Row],[Year_made_text]]),tblLoans[[#This Row],[Year_made_text]]=Summary!$B$2,IFERROR(VALUE(LEFT(tblLoans[[#This Row],[Year_made_text]],4))&gt;Summary!$B$4,FALSE),AND(ISNUMBER(tblLoans[[#This Row],[Term_used]]),tblLoans[[#This Row],[Term_used]]&lt;=0),AND(ISNUMBER(Summary!$B$3),Summary!$B$3&lt;=0)),"REFUSED",IF(OR(OR(LOWER(TRIM(tblLoans[[#This Row],[Year_made_text]]&amp;""))={"","-","?","n/a","na","unk","unknown"}),NOT(ISNUMBER(Summary!$B$3)),NOT(ISNUMBER(tblLoans[[#This Row],[amalgamated_loan_unpaid_at_end_of_previous_year]])),NOT(ISNUMBER(tblLoans[[#This Row],[payments_applied_during_the_year]])),NOT(ISNUMBER(tblLoans[[#This Row],[Term_used]]))),"UNKNOWN",IF(tblLoans[[#This Row],[MYR_raw]]-ROUND(tblLoans[[#This Row],[payments_applied_during_the_year]],2)&lt;=0,"MYR_MET","MYR_SHORT"))))</f>
        <v>REFUSED</v>
      </c>
      <c r="AC4" s="9" t="str">
        <f>IF(tblLoans[[#This Row],[MYR_verdict]]="REFUSED",IF(tblLoans[[#This Row],[Gate_verdict]]&lt;&gt;"COMPLYING","s 109N gate is "&amp;tblLoans[[#This Row],[Gate_verdict]]&amp;", so s 109E produces no repayment figure",IF(tblLoans[[#This Row],[Floor_year]]&lt;&gt;tblLoans[[#This Row],[Year_made_text]],"gate benchmark year differs from year_loan_made",IF(tblLoans[[#This Row],[Year_made_text]]=Summary!$B$2,"year of income is the year the loan was made (s 109E(1)(a), s 109P)",IF(IFERROR(VALUE(LEFT(tblLoans[[#This Row],[Year_made_text]],4))&gt;Summary!$B$4,FALSE),"loan made after the year of income",IF(AND(ISNUMBER(tblLoans[[#This Row],[Term_used]]),tblLoans[[#This Row],[Term_used]]&lt;=0),"nil remaining term under s 109E(6)","nil benchmark rate"))))),IF(tblLoans[[#This Row],[MYR_verdict]]="UNKNOWN",IF(OR(LOWER(TRIM(tblLoans[[#This Row],[Year_made_text]]&amp;""))={"","-","?","n/a","na","unk","unknown"}),"year_loan_made not established",IF(NOT(ISNUMBER(Summary!$B$3)),"no reviewed benchmark rate for the year of income",IF(NOT(ISNUMBER(tblLoans[[#This Row],[amalgamated_loan_unpaid_at_end_of_previous_year]])),"unpaid balance at end of previous year not established",IF(NOT(ISNUMBER(tblLoans[[#This Row],[payments_applied_during_the_year]])),"payments applied not established","remaining term not established")))),""))</f>
        <v>s 109N gate is UNKNOWN, so s 109E produces no repayment figure</v>
      </c>
      <c r="AD4" s="10" t="str">
        <f>IF(OR(tblLoans[[#This Row],[MYR_verdict]]="MYR_MET",tblLoans[[#This Row],[MYR_verdict]]="MYR_SHORT"),tblLoans[[#This Row],[MYR_raw]],"")</f>
        <v/>
      </c>
      <c r="AE4" s="10" t="str">
        <f>IF(OR(tblLoans[[#This Row],[MYR_verdict]]="MYR_MET",tblLoans[[#This Row],[MYR_verdict]]="MYR_SHORT"),MAX(0,ROUND(tblLoans[[#This Row],[MYR_raw]]-ROUND(tblLoans[[#This Row],[payments_applied_during_the_year]],2),2)),"")</f>
        <v/>
      </c>
      <c r="AF4" s="10" t="str">
        <f>IF(tblLoans[[#This Row],[MYR_verdict]]="MYR_SHORT",tblLoans[[#This Row],[Shortfall]],"")</f>
        <v/>
      </c>
      <c r="AG4" s="9">
        <f>IF(AND(tblLoans[[#This Row],[Status]]="REVIEWED",OR(tblLoans[[#This Row],[Gate_verdict]]="UNKNOWN",tblLoans[[#This Row],[MYR_verdict]]="UNKNOWN")),1,0)</f>
        <v>1</v>
      </c>
      <c r="AH4" s="9">
        <f>IF(OR(_xlfn.ISFORMULA(tblLoans[[#This Row],[loan_id]]),_xlfn.ISFORMULA(tblLoans[[#This Row],[borrower_reference]]),_xlfn.ISFORMULA(tblLoans[[#This Row],[year_loan_made]]),_xlfn.ISFORMULA(tblLoans[[#This Row],[written_agreement]]),_xlfn.ISFORMULA(tblLoans[[#This Row],[terms_in_place_before_lodgment_day]]),_xlfn.ISFORMULA(tblLoans[[#This Row],[maximum_term_years]]),_xlfn.ISFORMULA(tblLoans[[#This Row],[secured_by_registered_mortgage_over_real_property]]),_xlfn.ISFORMULA(tblLoans[[#This Row],[security_coverage_at_first_made]]),_xlfn.ISFORMULA(tblLoans[[#This Row],[interest_rate_for_years_after_year_loan_made]]),_xlfn.ISFORMULA(tblLoans[[#This Row],[amalgamated_loan_unpaid_at_end_of_previous_year]]),_xlfn.ISFORMULA(tblLoans[[#This Row],[remaining_term_years]]),_xlfn.ISFORMULA(tblLoans[[#This Row],[payments_applied_during_the_year]]),_xlfn.ISFORMULA(tblLoans[[#This Row],[out_of_scope_reason]]),_xlfn.ISFORMULA(tblLoans[[#This Row],[year_of_income_being_tested]])),1,0)</f>
        <v>0</v>
      </c>
      <c r="AI4" s="9" t="str">
        <f>IF(TRIM(tblLoans[[#This Row],[out_of_scope_reason]]&amp;"")&lt;&gt;"","",TRIM(IF(OR(AND(NOT(OR(LOWER(TRIM(tblLoans[[#This Row],[Year_made_text]]&amp;""))={"","-","?","n/a","na","unk","unknown"})),NOT(IFERROR(AND(LEN(tblLoans[[#This Row],[Year_made_text]])=7,MID(tblLoans[[#This Row],[Year_made_text]],5,1)="-",ISNUMBER(VALUE(MID(tblLoans[[#This Row],[Year_made_text]],1,1))),ISNUMBER(VALUE(MID(tblLoans[[#This Row],[Year_made_text]],2,1))),ISNUMBER(VALUE(MID(tblLoans[[#This Row],[Year_made_text]],3,1))),ISNUMBER(VALUE(MID(tblLoans[[#This Row],[Year_made_text]],4,1))),ISNUMBER(VALUE(MID(tblLoans[[#This Row],[Year_made_text]],6,1))),ISNUMBER(VALUE(MID(tblLoans[[#This Row],[Year_made_text]],7,1))),VALUE(RIGHT(tblLoans[[#This Row],[Year_made_text]],2))=MOD(VALUE(LEFT(tblLoans[[#This Row],[Year_made_text]],4))+1,100),VALUE(LEFT(tblLoans[[#This Row],[Year_made_text]],4))&gt;=1900,VALUE(LEFT(tblLoans[[#This Row],[Year_made_text]],4))&lt;=2100),FALSE))),AND(tblLoans[[#This Row],[Status]]="REVIEWED",AND(NOT(OR(LOWER(TRIM(tblLoans[[#This Row],[Year_tested_text]]&amp;""))={"","-","?","n/a","na","unk","unknown"})),NOT(IFERROR(AND(LEN(tblLoans[[#This Row],[Year_tested_text]])=7,MID(tblLoans[[#This Row],[Year_tested_text]],5,1)="-",ISNUMBER(VALUE(MID(tblLoans[[#This Row],[Year_tested_text]],1,1))),ISNUMBER(VALUE(MID(tblLoans[[#This Row],[Year_tested_text]],2,1))),ISNUMBER(VALUE(MID(tblLoans[[#This Row],[Year_tested_text]],3,1))),ISNUMBER(VALUE(MID(tblLoans[[#This Row],[Year_tested_text]],4,1))),ISNUMBER(VALUE(MID(tblLoans[[#This Row],[Year_tested_text]],6,1))),ISNUMBER(VALUE(MID(tblLoans[[#This Row],[Year_tested_text]],7,1))),VALUE(RIGHT(tblLoans[[#This Row],[Year_tested_text]],2))=MOD(VALUE(LEFT(tblLoans[[#This Row],[Year_tested_text]],4))+1,100),VALUE(LEFT(tblLoans[[#This Row],[Year_tested_text]],4))&gt;=1900,VALUE(LEFT(tblLoans[[#This Row],[Year_tested_text]],4))&lt;=2100),FALSE))))),"year label ","")&amp;IF(tblLoans[[#This Row],[Status]]&lt;&gt;"REVIEWED","",IF(OR(AND(NOT(OR(LOWER(TRIM(tblLoans[[#This Row],[written_agreement]]&amp;""))={"","-","?","n/a","na","unk","unknown"})),NOT(OR(LOWER(TRIM(tblLoans[[#This Row],[written_agreement]]&amp;""))={"0","1","f","false","n","no","t","true","y","yes"}))),AND(NOT(OR(LOWER(TRIM(tblLoans[[#This Row],[terms_in_place_before_lodgment_day]]&amp;""))={"","-","?","n/a","na","unk","unknown"})),NOT(OR(LOWER(TRIM(tblLoans[[#This Row],[terms_in_place_before_lodgment_day]]&amp;""))={"0","1","f","false","n","no","t","true","y","yes"}))),AND(NOT(OR(LOWER(TRIM(tblLoans[[#This Row],[secured_by_registered_mortgage_over_real_property]]&amp;""))={"","-","?","n/a","na","unk","unknown"})),NOT(OR(LOWER(TRIM(tblLoans[[#This Row],[secured_by_registered_mortgage_over_real_property]]&amp;""))={"0","1","f","false","n","no","t","true","y","yes"})))),"true/false/unknown ","")&amp;IF(OR(AND(NOT(OR(LOWER(TRIM(tblLoans[[#This Row],[maximum_term_years]]&amp;""))={"","-","?","n/a","na","unk","unknown"})),OR(NOT(ISNUMBER(tblLoans[[#This Row],[maximum_term_years]])),AND(ISNUMBER(tblLoans[[#This Row],[maximum_term_years]]),OR(tblLoans[[#This Row],[maximum_term_years]]&lt;0)))),AND(NOT(OR(LOWER(TRIM(tblLoans[[#This Row],[security_coverage_at_first_made]]&amp;""))={"","-","?","n/a","na","unk","unknown"})),OR(NOT(ISNUMBER(tblLoans[[#This Row],[security_coverage_at_first_made]])),AND(ISNUMBER(tblLoans[[#This Row],[security_coverage_at_first_made]]),OR(tblLoans[[#This Row],[security_coverage_at_first_made]]&lt;0)))),AND(NOT(OR(LOWER(TRIM(tblLoans[[#This Row],[interest_rate_for_years_after_year_loan_made]]&amp;""))={"","-","?","n/a","na","unk","unknown"})),OR(NOT(ISNUMBER(tblLoans[[#This Row],[interest_rate_for_years_after_year_loan_made]])),AND(ISNUMBER(tblLoans[[#This Row],[interest_rate_for_years_after_year_loan_made]]),OR(tblLoans[[#This Row],[interest_rate_for_years_after_year_loan_made]]&lt;0,tblLoans[[#This Row],[interest_rate_for_years_after_year_loan_made]]&gt;1)))),AND(NOT(OR(LOWER(TRIM(tblLoans[[#This Row],[amalgamated_loan_unpaid_at_end_of_previous_year]]&amp;""))={"","-","?","n/a","na","unk","unknown"})),OR(NOT(ISNUMBER(tblLoans[[#This Row],[amalgamated_loan_unpaid_at_end_of_previous_year]])),AND(ISNUMBER(tblLoans[[#This Row],[amalgamated_loan_unpaid_at_end_of_previous_year]]),OR(tblLoans[[#This Row],[amalgamated_loan_unpaid_at_end_of_previous_year]]&lt;0,ROUND(N(tblLoans[[#This Row],[amalgamated_loan_unpaid_at_end_of_previous_year]]),2)&lt;&gt;N(tblLoans[[#This Row],[amalgamated_loan_unpaid_at_end_of_previous_year]]),N(tblLoans[[#This Row],[amalgamated_loan_unpaid_at_end_of_previous_year]])&gt;1000000000000)))),AND(NOT(OR(LOWER(TRIM(tblLoans[[#This Row],[remaining_term_years]]&amp;""))={"","-","?","n/a","na","unk","unknown"})),OR(NOT(ISNUMBER(tblLoans[[#This Row],[remaining_term_years]])),AND(ISNUMBER(tblLoans[[#This Row],[remaining_term_years]]),OR(tblLoans[[#This Row],[remaining_term_years]]&lt;0)))),AND(NOT(OR(LOWER(TRIM(tblLoans[[#This Row],[payments_applied_during_the_year]]&amp;""))={"","-","?","n/a","na","unk","unknown"})),OR(NOT(ISNUMBER(tblLoans[[#This Row],[payments_applied_during_the_year]])),AND(ISNUMBER(tblLoans[[#This Row],[payments_applied_during_the_year]]),OR(tblLoans[[#This Row],[payments_applied_during_the_year]]&lt;0,ROUND(N(tblLoans[[#This Row],[payments_applied_during_the_year]]),2)&lt;&gt;N(tblLoans[[#This Row],[payments_applied_during_the_year]]),N(tblLoans[[#This Row],[payments_applied_during_the_year]])&gt;1000000000000))))),"number ",""))))</f>
        <v/>
      </c>
      <c r="AJ4" s="9">
        <f>IF(SUMPRODUCT((tblLoans[[#This Row],[loan_id]]&amp;""={"L-101","L-102","L-103","L-104","L-105","L-106","L-107","L-108"})*(tblLoans[[#This Row],[Year_made_text]]&amp;""={"2023-24","2022-23","2021-22","2024-25","2019-20","2020-21","2023-24","1996-97"}))&gt;0,1,0)</f>
        <v>1</v>
      </c>
      <c r="AK4" s="9" t="str">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Row],[year_loan_made]]&amp;"",_xlfn.UNICHAR(9),"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f>
        <v>2021-22</v>
      </c>
      <c r="AL4" s="9" t="str">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Row],[year_of_income_being_tested]]&amp;"",_xlfn.UNICHAR(9),"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f>
        <v/>
      </c>
    </row>
    <row r="5" spans="1:38" x14ac:dyDescent="0.25">
      <c r="A5" s="6" t="s">
        <v>59</v>
      </c>
      <c r="B5" s="6" t="s">
        <v>60</v>
      </c>
      <c r="C5" s="6" t="s">
        <v>61</v>
      </c>
      <c r="D5" s="7" t="s">
        <v>50</v>
      </c>
      <c r="E5" s="7" t="s">
        <v>50</v>
      </c>
      <c r="F5" s="7">
        <v>7</v>
      </c>
      <c r="G5" s="7" t="s">
        <v>51</v>
      </c>
      <c r="H5" s="7" t="s">
        <v>52</v>
      </c>
      <c r="I5" s="7">
        <v>8.77E-2</v>
      </c>
      <c r="J5" s="8">
        <v>88000</v>
      </c>
      <c r="K5" s="7">
        <v>5</v>
      </c>
      <c r="L5" s="8" t="s">
        <v>52</v>
      </c>
      <c r="M5" s="6"/>
      <c r="N5" s="6"/>
      <c r="O5" s="9" t="str">
        <f>IF(TRIM(tblLoans[[#This Row],[out_of_scope_reason]]&amp;"")&lt;&gt;"","SKIPPED",IF(IFERROR(VALUE(LEFT(tblLoans[[#This Row],[Year_made_text]],4))&lt;1998,FALSE),"SKIPPED","REVIEWED"))</f>
        <v>REVIEWED</v>
      </c>
      <c r="P5" s="9" t="str">
        <f>IF(OR(LOWER(TRIM(tblLoans[[#This Row],[Year_tested_text]]&amp;""))={"","-","?","n/a","na","unk","unknown"}),tblLoans[[#This Row],[Year_made_text]],tblLoans[[#This Row],[Year_tested_text]])</f>
        <v>2024-25</v>
      </c>
      <c r="Q5" s="9">
        <f>IFERROR(INDEX(tblRates[rate],MATCH(tblLoans[[#This Row],[Floor_year]],tblRates[year_of_income],0)),"")</f>
        <v>8.77E-2</v>
      </c>
      <c r="R5" s="9" t="str">
        <f>IF(OR(LOWER(TRIM(tblLoans[[#This Row],[written_agreement]]&amp;""))={"","-","?","n/a","na","unk","unknown"}),"UNKNOWN",IF(OR(LOWER(TRIM(tblLoans[[#This Row],[written_agreement]]&amp;""))={"1","t","true","y","yes"}),"PASS",IF(OR(LOWER(TRIM(tblLoans[[#This Row],[written_agreement]]&amp;""))={"0","f","false","n","no"}),"FAIL","UNKNOWN")))</f>
        <v>PASS</v>
      </c>
      <c r="S5" s="9" t="str">
        <f>IF(OR(LOWER(TRIM(tblLoans[[#This Row],[terms_in_place_before_lodgment_day]]&amp;""))={"","-","?","n/a","na","unk","unknown"}),"UNKNOWN",IF(OR(LOWER(TRIM(tblLoans[[#This Row],[terms_in_place_before_lodgment_day]]&amp;""))={"1","t","true","y","yes"}),"PASS",IF(OR(LOWER(TRIM(tblLoans[[#This Row],[terms_in_place_before_lodgment_day]]&amp;""))={"0","f","false","n","no"}),"FAIL","UNKNOWN")))</f>
        <v>PASS</v>
      </c>
      <c r="T5" s="9" t="str">
        <f>IF(NOT(ISNUMBER(tblLoans[[#This Row],[interest_rate_for_years_after_year_loan_made]])),"UNKNOWN",IF(tblLoans[[#This Row],[Floor_rate]]="","UNKNOWN",IF(tblLoans[[#This Row],[interest_rate_for_years_after_year_loan_made]]&gt;=tblLoans[[#This Row],[Floor_rate]],"PASS","FAIL")))</f>
        <v>PASS</v>
      </c>
      <c r="U5" s="9" t="str">
        <f>IF(OR(LOWER(TRIM(tblLoans[[#This Row],[secured_by_registered_mortgage_over_real_property]]&amp;""))={"","-","?","n/a","na","unk","unknown"}),"UNKNOWN",IF(OR(LOWER(TRIM(tblLoans[[#This Row],[secured_by_registered_mortgage_over_real_property]]&amp;""))={"1","t","true","y","yes"}),"PASS",IF(OR(LOWER(TRIM(tblLoans[[#This Row],[secured_by_registered_mortgage_over_real_property]]&amp;""))={"0","f","false","n","no"}),"FAIL","UNKNOWN")))</f>
        <v>FAIL</v>
      </c>
      <c r="V5" s="9">
        <f>IF(tblLoans[[#This Row],[Limb_secured]]="FAIL",7,IF(tblLoans[[#This Row],[Limb_secured]]="PASS",IF(ISNUMBER(tblLoans[[#This Row],[security_coverage_at_first_made]]),IF(tblLoans[[#This Row],[security_coverage_at_first_made]]&gt;=1.1,25,7),""),""))</f>
        <v>7</v>
      </c>
      <c r="W5" s="9" t="str">
        <f>IF(NOT(ISNUMBER(tblLoans[[#This Row],[maximum_term_years]])),"UNKNOWN",IF(tblLoans[[#This Row],[Allowed_term_raw]]="",IF(tblLoans[[#This Row],[maximum_term_years]]&lt;=7,"PASS","UNKNOWN"),IF(tblLoans[[#This Row],[maximum_term_years]]&lt;=tblLoans[[#This Row],[Allowed_term_raw]],"PASS","FAIL")))</f>
        <v>PASS</v>
      </c>
      <c r="X5" s="9" t="str">
        <f>IF(tblLoans[[#This Row],[Status]]="SKIPPED","",IF(OR(LOWER(TRIM(tblLoans[[#This Row],[Floor_year]]&amp;""))={"","-","?","n/a","na","unk","unknown"}),"UNKNOWN",IF(OR(tblLoans[[#This Row],[Limb_a_written]]="FAIL",tblLoans[[#This Row],[Limb_lodgment]]="FAIL",tblLoans[[#This Row],[Limb_b_rate]]="FAIL",tblLoans[[#This Row],[Limb_c_term]]="FAIL"),"NOT_COMPLYING",IF(OR(tblLoans[[#This Row],[Limb_a_written]]="UNKNOWN",tblLoans[[#This Row],[Limb_lodgment]]="UNKNOWN",tblLoans[[#This Row],[Limb_b_rate]]="UNKNOWN",tblLoans[[#This Row],[Limb_c_term]]="UNKNOWN"),"UNKNOWN","COMPLYING"))))</f>
        <v>COMPLYING</v>
      </c>
      <c r="Y5" s="9">
        <f>IF(OR(tblLoans[[#This Row],[Status]]="SKIPPED",OR(LOWER(TRIM(tblLoans[[#This Row],[Floor_year]]&amp;""))={"","-","?","n/a","na","unk","unknown"})),"",IF(tblLoans[[#This Row],[Allowed_term_raw]]&lt;&gt;"",tblLoans[[#This Row],[Allowed_term_raw]],IF(AND(ISNUMBER(tblLoans[[#This Row],[maximum_term_years]]),tblLoans[[#This Row],[maximum_term_years]]&lt;=7),7,"")))</f>
        <v>7</v>
      </c>
      <c r="Z5" s="9">
        <f>IF(tblLoans[[#This Row],[Status]]="SKIPPED","",IF(ISNUMBER(tblLoans[[#This Row],[remaining_term_years]]),ROUNDUP(tblLoans[[#This Row],[remaining_term_years]],0),""))</f>
        <v>5</v>
      </c>
      <c r="AA5" s="9">
        <f>IF(AND(ISNUMBER(tblLoans[[#This Row],[amalgamated_loan_unpaid_at_end_of_previous_year]]),ISNUMBER(Summary!$B$3),Summary!$B$3&gt;0,ISNUMBER(tblLoans[[#This Row],[Term_used]]),tblLoans[[#This Row],[Term_used]]&gt;0),ROUND(tblLoans[[#This Row],[amalgamated_loan_unpaid_at_end_of_previous_year]]*Summary!$B$3/(1-(1/(1+Summary!$B$3))^tblLoans[[#This Row],[Term_used]]),2),"")</f>
        <v>22489.279999999999</v>
      </c>
      <c r="AB5" s="9" t="str">
        <f>IF(tblLoans[[#This Row],[Status]]="SKIPPED","",IF(OR(tblLoans[[#This Row],[Gate_verdict]]&lt;&gt;"COMPLYING",AND(NOT(OR(LOWER(TRIM(tblLoans[[#This Row],[Year_made_text]]&amp;""))={"","-","?","n/a","na","unk","unknown"})),tblLoans[[#This Row],[Floor_year]]&lt;&gt;tblLoans[[#This Row],[Year_made_text]]),tblLoans[[#This Row],[Year_made_text]]=Summary!$B$2,IFERROR(VALUE(LEFT(tblLoans[[#This Row],[Year_made_text]],4))&gt;Summary!$B$4,FALSE),AND(ISNUMBER(tblLoans[[#This Row],[Term_used]]),tblLoans[[#This Row],[Term_used]]&lt;=0),AND(ISNUMBER(Summary!$B$3),Summary!$B$3&lt;=0)),"REFUSED",IF(OR(OR(LOWER(TRIM(tblLoans[[#This Row],[Year_made_text]]&amp;""))={"","-","?","n/a","na","unk","unknown"}),NOT(ISNUMBER(Summary!$B$3)),NOT(ISNUMBER(tblLoans[[#This Row],[amalgamated_loan_unpaid_at_end_of_previous_year]])),NOT(ISNUMBER(tblLoans[[#This Row],[payments_applied_during_the_year]])),NOT(ISNUMBER(tblLoans[[#This Row],[Term_used]]))),"UNKNOWN",IF(tblLoans[[#This Row],[MYR_raw]]-ROUND(tblLoans[[#This Row],[payments_applied_during_the_year]],2)&lt;=0,"MYR_MET","MYR_SHORT"))))</f>
        <v>UNKNOWN</v>
      </c>
      <c r="AC5" s="9" t="str">
        <f>IF(tblLoans[[#This Row],[MYR_verdict]]="REFUSED",IF(tblLoans[[#This Row],[Gate_verdict]]&lt;&gt;"COMPLYING","s 109N gate is "&amp;tblLoans[[#This Row],[Gate_verdict]]&amp;", so s 109E produces no repayment figure",IF(tblLoans[[#This Row],[Floor_year]]&lt;&gt;tblLoans[[#This Row],[Year_made_text]],"gate benchmark year differs from year_loan_made",IF(tblLoans[[#This Row],[Year_made_text]]=Summary!$B$2,"year of income is the year the loan was made (s 109E(1)(a), s 109P)",IF(IFERROR(VALUE(LEFT(tblLoans[[#This Row],[Year_made_text]],4))&gt;Summary!$B$4,FALSE),"loan made after the year of income",IF(AND(ISNUMBER(tblLoans[[#This Row],[Term_used]]),tblLoans[[#This Row],[Term_used]]&lt;=0),"nil remaining term under s 109E(6)","nil benchmark rate"))))),IF(tblLoans[[#This Row],[MYR_verdict]]="UNKNOWN",IF(OR(LOWER(TRIM(tblLoans[[#This Row],[Year_made_text]]&amp;""))={"","-","?","n/a","na","unk","unknown"}),"year_loan_made not established",IF(NOT(ISNUMBER(Summary!$B$3)),"no reviewed benchmark rate for the year of income",IF(NOT(ISNUMBER(tblLoans[[#This Row],[amalgamated_loan_unpaid_at_end_of_previous_year]])),"unpaid balance at end of previous year not established",IF(NOT(ISNUMBER(tblLoans[[#This Row],[payments_applied_during_the_year]])),"payments applied not established","remaining term not established")))),""))</f>
        <v>payments applied not established</v>
      </c>
      <c r="AD5" s="10" t="str">
        <f>IF(OR(tblLoans[[#This Row],[MYR_verdict]]="MYR_MET",tblLoans[[#This Row],[MYR_verdict]]="MYR_SHORT"),tblLoans[[#This Row],[MYR_raw]],"")</f>
        <v/>
      </c>
      <c r="AE5" s="10" t="str">
        <f>IF(OR(tblLoans[[#This Row],[MYR_verdict]]="MYR_MET",tblLoans[[#This Row],[MYR_verdict]]="MYR_SHORT"),MAX(0,ROUND(tblLoans[[#This Row],[MYR_raw]]-ROUND(tblLoans[[#This Row],[payments_applied_during_the_year]],2),2)),"")</f>
        <v/>
      </c>
      <c r="AF5" s="10" t="str">
        <f>IF(tblLoans[[#This Row],[MYR_verdict]]="MYR_SHORT",tblLoans[[#This Row],[Shortfall]],"")</f>
        <v/>
      </c>
      <c r="AG5" s="9">
        <f>IF(AND(tblLoans[[#This Row],[Status]]="REVIEWED",OR(tblLoans[[#This Row],[Gate_verdict]]="UNKNOWN",tblLoans[[#This Row],[MYR_verdict]]="UNKNOWN")),1,0)</f>
        <v>1</v>
      </c>
      <c r="AH5" s="9">
        <f>IF(OR(_xlfn.ISFORMULA(tblLoans[[#This Row],[loan_id]]),_xlfn.ISFORMULA(tblLoans[[#This Row],[borrower_reference]]),_xlfn.ISFORMULA(tblLoans[[#This Row],[year_loan_made]]),_xlfn.ISFORMULA(tblLoans[[#This Row],[written_agreement]]),_xlfn.ISFORMULA(tblLoans[[#This Row],[terms_in_place_before_lodgment_day]]),_xlfn.ISFORMULA(tblLoans[[#This Row],[maximum_term_years]]),_xlfn.ISFORMULA(tblLoans[[#This Row],[secured_by_registered_mortgage_over_real_property]]),_xlfn.ISFORMULA(tblLoans[[#This Row],[security_coverage_at_first_made]]),_xlfn.ISFORMULA(tblLoans[[#This Row],[interest_rate_for_years_after_year_loan_made]]),_xlfn.ISFORMULA(tblLoans[[#This Row],[amalgamated_loan_unpaid_at_end_of_previous_year]]),_xlfn.ISFORMULA(tblLoans[[#This Row],[remaining_term_years]]),_xlfn.ISFORMULA(tblLoans[[#This Row],[payments_applied_during_the_year]]),_xlfn.ISFORMULA(tblLoans[[#This Row],[out_of_scope_reason]]),_xlfn.ISFORMULA(tblLoans[[#This Row],[year_of_income_being_tested]])),1,0)</f>
        <v>0</v>
      </c>
      <c r="AI5" s="9" t="str">
        <f>IF(TRIM(tblLoans[[#This Row],[out_of_scope_reason]]&amp;"")&lt;&gt;"","",TRIM(IF(OR(AND(NOT(OR(LOWER(TRIM(tblLoans[[#This Row],[Year_made_text]]&amp;""))={"","-","?","n/a","na","unk","unknown"})),NOT(IFERROR(AND(LEN(tblLoans[[#This Row],[Year_made_text]])=7,MID(tblLoans[[#This Row],[Year_made_text]],5,1)="-",ISNUMBER(VALUE(MID(tblLoans[[#This Row],[Year_made_text]],1,1))),ISNUMBER(VALUE(MID(tblLoans[[#This Row],[Year_made_text]],2,1))),ISNUMBER(VALUE(MID(tblLoans[[#This Row],[Year_made_text]],3,1))),ISNUMBER(VALUE(MID(tblLoans[[#This Row],[Year_made_text]],4,1))),ISNUMBER(VALUE(MID(tblLoans[[#This Row],[Year_made_text]],6,1))),ISNUMBER(VALUE(MID(tblLoans[[#This Row],[Year_made_text]],7,1))),VALUE(RIGHT(tblLoans[[#This Row],[Year_made_text]],2))=MOD(VALUE(LEFT(tblLoans[[#This Row],[Year_made_text]],4))+1,100),VALUE(LEFT(tblLoans[[#This Row],[Year_made_text]],4))&gt;=1900,VALUE(LEFT(tblLoans[[#This Row],[Year_made_text]],4))&lt;=2100),FALSE))),AND(tblLoans[[#This Row],[Status]]="REVIEWED",AND(NOT(OR(LOWER(TRIM(tblLoans[[#This Row],[Year_tested_text]]&amp;""))={"","-","?","n/a","na","unk","unknown"})),NOT(IFERROR(AND(LEN(tblLoans[[#This Row],[Year_tested_text]])=7,MID(tblLoans[[#This Row],[Year_tested_text]],5,1)="-",ISNUMBER(VALUE(MID(tblLoans[[#This Row],[Year_tested_text]],1,1))),ISNUMBER(VALUE(MID(tblLoans[[#This Row],[Year_tested_text]],2,1))),ISNUMBER(VALUE(MID(tblLoans[[#This Row],[Year_tested_text]],3,1))),ISNUMBER(VALUE(MID(tblLoans[[#This Row],[Year_tested_text]],4,1))),ISNUMBER(VALUE(MID(tblLoans[[#This Row],[Year_tested_text]],6,1))),ISNUMBER(VALUE(MID(tblLoans[[#This Row],[Year_tested_text]],7,1))),VALUE(RIGHT(tblLoans[[#This Row],[Year_tested_text]],2))=MOD(VALUE(LEFT(tblLoans[[#This Row],[Year_tested_text]],4))+1,100),VALUE(LEFT(tblLoans[[#This Row],[Year_tested_text]],4))&gt;=1900,VALUE(LEFT(tblLoans[[#This Row],[Year_tested_text]],4))&lt;=2100),FALSE))))),"year label ","")&amp;IF(tblLoans[[#This Row],[Status]]&lt;&gt;"REVIEWED","",IF(OR(AND(NOT(OR(LOWER(TRIM(tblLoans[[#This Row],[written_agreement]]&amp;""))={"","-","?","n/a","na","unk","unknown"})),NOT(OR(LOWER(TRIM(tblLoans[[#This Row],[written_agreement]]&amp;""))={"0","1","f","false","n","no","t","true","y","yes"}))),AND(NOT(OR(LOWER(TRIM(tblLoans[[#This Row],[terms_in_place_before_lodgment_day]]&amp;""))={"","-","?","n/a","na","unk","unknown"})),NOT(OR(LOWER(TRIM(tblLoans[[#This Row],[terms_in_place_before_lodgment_day]]&amp;""))={"0","1","f","false","n","no","t","true","y","yes"}))),AND(NOT(OR(LOWER(TRIM(tblLoans[[#This Row],[secured_by_registered_mortgage_over_real_property]]&amp;""))={"","-","?","n/a","na","unk","unknown"})),NOT(OR(LOWER(TRIM(tblLoans[[#This Row],[secured_by_registered_mortgage_over_real_property]]&amp;""))={"0","1","f","false","n","no","t","true","y","yes"})))),"true/false/unknown ","")&amp;IF(OR(AND(NOT(OR(LOWER(TRIM(tblLoans[[#This Row],[maximum_term_years]]&amp;""))={"","-","?","n/a","na","unk","unknown"})),OR(NOT(ISNUMBER(tblLoans[[#This Row],[maximum_term_years]])),AND(ISNUMBER(tblLoans[[#This Row],[maximum_term_years]]),OR(tblLoans[[#This Row],[maximum_term_years]]&lt;0)))),AND(NOT(OR(LOWER(TRIM(tblLoans[[#This Row],[security_coverage_at_first_made]]&amp;""))={"","-","?","n/a","na","unk","unknown"})),OR(NOT(ISNUMBER(tblLoans[[#This Row],[security_coverage_at_first_made]])),AND(ISNUMBER(tblLoans[[#This Row],[security_coverage_at_first_made]]),OR(tblLoans[[#This Row],[security_coverage_at_first_made]]&lt;0)))),AND(NOT(OR(LOWER(TRIM(tblLoans[[#This Row],[interest_rate_for_years_after_year_loan_made]]&amp;""))={"","-","?","n/a","na","unk","unknown"})),OR(NOT(ISNUMBER(tblLoans[[#This Row],[interest_rate_for_years_after_year_loan_made]])),AND(ISNUMBER(tblLoans[[#This Row],[interest_rate_for_years_after_year_loan_made]]),OR(tblLoans[[#This Row],[interest_rate_for_years_after_year_loan_made]]&lt;0,tblLoans[[#This Row],[interest_rate_for_years_after_year_loan_made]]&gt;1)))),AND(NOT(OR(LOWER(TRIM(tblLoans[[#This Row],[amalgamated_loan_unpaid_at_end_of_previous_year]]&amp;""))={"","-","?","n/a","na","unk","unknown"})),OR(NOT(ISNUMBER(tblLoans[[#This Row],[amalgamated_loan_unpaid_at_end_of_previous_year]])),AND(ISNUMBER(tblLoans[[#This Row],[amalgamated_loan_unpaid_at_end_of_previous_year]]),OR(tblLoans[[#This Row],[amalgamated_loan_unpaid_at_end_of_previous_year]]&lt;0,ROUND(N(tblLoans[[#This Row],[amalgamated_loan_unpaid_at_end_of_previous_year]]),2)&lt;&gt;N(tblLoans[[#This Row],[amalgamated_loan_unpaid_at_end_of_previous_year]]),N(tblLoans[[#This Row],[amalgamated_loan_unpaid_at_end_of_previous_year]])&gt;1000000000000)))),AND(NOT(OR(LOWER(TRIM(tblLoans[[#This Row],[remaining_term_years]]&amp;""))={"","-","?","n/a","na","unk","unknown"})),OR(NOT(ISNUMBER(tblLoans[[#This Row],[remaining_term_years]])),AND(ISNUMBER(tblLoans[[#This Row],[remaining_term_years]]),OR(tblLoans[[#This Row],[remaining_term_years]]&lt;0)))),AND(NOT(OR(LOWER(TRIM(tblLoans[[#This Row],[payments_applied_during_the_year]]&amp;""))={"","-","?","n/a","na","unk","unknown"})),OR(NOT(ISNUMBER(tblLoans[[#This Row],[payments_applied_during_the_year]])),AND(ISNUMBER(tblLoans[[#This Row],[payments_applied_during_the_year]]),OR(tblLoans[[#This Row],[payments_applied_during_the_year]]&lt;0,ROUND(N(tblLoans[[#This Row],[payments_applied_during_the_year]]),2)&lt;&gt;N(tblLoans[[#This Row],[payments_applied_during_the_year]]),N(tblLoans[[#This Row],[payments_applied_during_the_year]])&gt;1000000000000))))),"number ",""))))</f>
        <v/>
      </c>
      <c r="AJ5" s="9">
        <f>IF(SUMPRODUCT((tblLoans[[#This Row],[loan_id]]&amp;""={"L-101","L-102","L-103","L-104","L-105","L-106","L-107","L-108"})*(tblLoans[[#This Row],[Year_made_text]]&amp;""={"2023-24","2022-23","2021-22","2024-25","2019-20","2020-21","2023-24","1996-97"}))&gt;0,1,0)</f>
        <v>1</v>
      </c>
      <c r="AK5" s="9" t="str">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Row],[year_loan_made]]&amp;"",_xlfn.UNICHAR(9),"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f>
        <v>2024-25</v>
      </c>
      <c r="AL5" s="9" t="str">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Row],[year_of_income_being_tested]]&amp;"",_xlfn.UNICHAR(9),"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f>
        <v/>
      </c>
    </row>
    <row r="6" spans="1:38" x14ac:dyDescent="0.25">
      <c r="A6" s="6" t="s">
        <v>62</v>
      </c>
      <c r="B6" s="6" t="s">
        <v>63</v>
      </c>
      <c r="C6" s="6" t="s">
        <v>64</v>
      </c>
      <c r="D6" s="7" t="s">
        <v>50</v>
      </c>
      <c r="E6" s="7" t="s">
        <v>50</v>
      </c>
      <c r="F6" s="7">
        <v>7</v>
      </c>
      <c r="G6" s="7" t="s">
        <v>51</v>
      </c>
      <c r="H6" s="7" t="s">
        <v>52</v>
      </c>
      <c r="I6" s="7">
        <v>5.3699999999999998E-2</v>
      </c>
      <c r="J6" s="8">
        <v>12000</v>
      </c>
      <c r="K6" s="7">
        <v>0</v>
      </c>
      <c r="L6" s="8">
        <v>12000</v>
      </c>
      <c r="M6" s="6"/>
      <c r="N6" s="6"/>
      <c r="O6" s="9" t="str">
        <f>IF(TRIM(tblLoans[[#This Row],[out_of_scope_reason]]&amp;"")&lt;&gt;"","SKIPPED",IF(IFERROR(VALUE(LEFT(tblLoans[[#This Row],[Year_made_text]],4))&lt;1998,FALSE),"SKIPPED","REVIEWED"))</f>
        <v>REVIEWED</v>
      </c>
      <c r="P6" s="9" t="str">
        <f>IF(OR(LOWER(TRIM(tblLoans[[#This Row],[Year_tested_text]]&amp;""))={"","-","?","n/a","na","unk","unknown"}),tblLoans[[#This Row],[Year_made_text]],tblLoans[[#This Row],[Year_tested_text]])</f>
        <v>2019-20</v>
      </c>
      <c r="Q6" s="9">
        <f>IFERROR(INDEX(tblRates[rate],MATCH(tblLoans[[#This Row],[Floor_year]],tblRates[year_of_income],0)),"")</f>
        <v>5.3699999999999998E-2</v>
      </c>
      <c r="R6" s="9" t="str">
        <f>IF(OR(LOWER(TRIM(tblLoans[[#This Row],[written_agreement]]&amp;""))={"","-","?","n/a","na","unk","unknown"}),"UNKNOWN",IF(OR(LOWER(TRIM(tblLoans[[#This Row],[written_agreement]]&amp;""))={"1","t","true","y","yes"}),"PASS",IF(OR(LOWER(TRIM(tblLoans[[#This Row],[written_agreement]]&amp;""))={"0","f","false","n","no"}),"FAIL","UNKNOWN")))</f>
        <v>PASS</v>
      </c>
      <c r="S6" s="9" t="str">
        <f>IF(OR(LOWER(TRIM(tblLoans[[#This Row],[terms_in_place_before_lodgment_day]]&amp;""))={"","-","?","n/a","na","unk","unknown"}),"UNKNOWN",IF(OR(LOWER(TRIM(tblLoans[[#This Row],[terms_in_place_before_lodgment_day]]&amp;""))={"1","t","true","y","yes"}),"PASS",IF(OR(LOWER(TRIM(tblLoans[[#This Row],[terms_in_place_before_lodgment_day]]&amp;""))={"0","f","false","n","no"}),"FAIL","UNKNOWN")))</f>
        <v>PASS</v>
      </c>
      <c r="T6" s="9" t="str">
        <f>IF(NOT(ISNUMBER(tblLoans[[#This Row],[interest_rate_for_years_after_year_loan_made]])),"UNKNOWN",IF(tblLoans[[#This Row],[Floor_rate]]="","UNKNOWN",IF(tblLoans[[#This Row],[interest_rate_for_years_after_year_loan_made]]&gt;=tblLoans[[#This Row],[Floor_rate]],"PASS","FAIL")))</f>
        <v>PASS</v>
      </c>
      <c r="U6" s="9" t="str">
        <f>IF(OR(LOWER(TRIM(tblLoans[[#This Row],[secured_by_registered_mortgage_over_real_property]]&amp;""))={"","-","?","n/a","na","unk","unknown"}),"UNKNOWN",IF(OR(LOWER(TRIM(tblLoans[[#This Row],[secured_by_registered_mortgage_over_real_property]]&amp;""))={"1","t","true","y","yes"}),"PASS",IF(OR(LOWER(TRIM(tblLoans[[#This Row],[secured_by_registered_mortgage_over_real_property]]&amp;""))={"0","f","false","n","no"}),"FAIL","UNKNOWN")))</f>
        <v>FAIL</v>
      </c>
      <c r="V6" s="9">
        <f>IF(tblLoans[[#This Row],[Limb_secured]]="FAIL",7,IF(tblLoans[[#This Row],[Limb_secured]]="PASS",IF(ISNUMBER(tblLoans[[#This Row],[security_coverage_at_first_made]]),IF(tblLoans[[#This Row],[security_coverage_at_first_made]]&gt;=1.1,25,7),""),""))</f>
        <v>7</v>
      </c>
      <c r="W6" s="9" t="str">
        <f>IF(NOT(ISNUMBER(tblLoans[[#This Row],[maximum_term_years]])),"UNKNOWN",IF(tblLoans[[#This Row],[Allowed_term_raw]]="",IF(tblLoans[[#This Row],[maximum_term_years]]&lt;=7,"PASS","UNKNOWN"),IF(tblLoans[[#This Row],[maximum_term_years]]&lt;=tblLoans[[#This Row],[Allowed_term_raw]],"PASS","FAIL")))</f>
        <v>PASS</v>
      </c>
      <c r="X6" s="9" t="str">
        <f>IF(tblLoans[[#This Row],[Status]]="SKIPPED","",IF(OR(LOWER(TRIM(tblLoans[[#This Row],[Floor_year]]&amp;""))={"","-","?","n/a","na","unk","unknown"}),"UNKNOWN",IF(OR(tblLoans[[#This Row],[Limb_a_written]]="FAIL",tblLoans[[#This Row],[Limb_lodgment]]="FAIL",tblLoans[[#This Row],[Limb_b_rate]]="FAIL",tblLoans[[#This Row],[Limb_c_term]]="FAIL"),"NOT_COMPLYING",IF(OR(tblLoans[[#This Row],[Limb_a_written]]="UNKNOWN",tblLoans[[#This Row],[Limb_lodgment]]="UNKNOWN",tblLoans[[#This Row],[Limb_b_rate]]="UNKNOWN",tblLoans[[#This Row],[Limb_c_term]]="UNKNOWN"),"UNKNOWN","COMPLYING"))))</f>
        <v>COMPLYING</v>
      </c>
      <c r="Y6" s="9">
        <f>IF(OR(tblLoans[[#This Row],[Status]]="SKIPPED",OR(LOWER(TRIM(tblLoans[[#This Row],[Floor_year]]&amp;""))={"","-","?","n/a","na","unk","unknown"})),"",IF(tblLoans[[#This Row],[Allowed_term_raw]]&lt;&gt;"",tblLoans[[#This Row],[Allowed_term_raw]],IF(AND(ISNUMBER(tblLoans[[#This Row],[maximum_term_years]]),tblLoans[[#This Row],[maximum_term_years]]&lt;=7),7,"")))</f>
        <v>7</v>
      </c>
      <c r="Z6" s="9">
        <f>IF(tblLoans[[#This Row],[Status]]="SKIPPED","",IF(ISNUMBER(tblLoans[[#This Row],[remaining_term_years]]),ROUNDUP(tblLoans[[#This Row],[remaining_term_years]],0),""))</f>
        <v>0</v>
      </c>
      <c r="AA6" s="9" t="str">
        <f>IF(AND(ISNUMBER(tblLoans[[#This Row],[amalgamated_loan_unpaid_at_end_of_previous_year]]),ISNUMBER(Summary!$B$3),Summary!$B$3&gt;0,ISNUMBER(tblLoans[[#This Row],[Term_used]]),tblLoans[[#This Row],[Term_used]]&gt;0),ROUND(tblLoans[[#This Row],[amalgamated_loan_unpaid_at_end_of_previous_year]]*Summary!$B$3/(1-(1/(1+Summary!$B$3))^tblLoans[[#This Row],[Term_used]]),2),"")</f>
        <v/>
      </c>
      <c r="AB6" s="9" t="str">
        <f>IF(tblLoans[[#This Row],[Status]]="SKIPPED","",IF(OR(tblLoans[[#This Row],[Gate_verdict]]&lt;&gt;"COMPLYING",AND(NOT(OR(LOWER(TRIM(tblLoans[[#This Row],[Year_made_text]]&amp;""))={"","-","?","n/a","na","unk","unknown"})),tblLoans[[#This Row],[Floor_year]]&lt;&gt;tblLoans[[#This Row],[Year_made_text]]),tblLoans[[#This Row],[Year_made_text]]=Summary!$B$2,IFERROR(VALUE(LEFT(tblLoans[[#This Row],[Year_made_text]],4))&gt;Summary!$B$4,FALSE),AND(ISNUMBER(tblLoans[[#This Row],[Term_used]]),tblLoans[[#This Row],[Term_used]]&lt;=0),AND(ISNUMBER(Summary!$B$3),Summary!$B$3&lt;=0)),"REFUSED",IF(OR(OR(LOWER(TRIM(tblLoans[[#This Row],[Year_made_text]]&amp;""))={"","-","?","n/a","na","unk","unknown"}),NOT(ISNUMBER(Summary!$B$3)),NOT(ISNUMBER(tblLoans[[#This Row],[amalgamated_loan_unpaid_at_end_of_previous_year]])),NOT(ISNUMBER(tblLoans[[#This Row],[payments_applied_during_the_year]])),NOT(ISNUMBER(tblLoans[[#This Row],[Term_used]]))),"UNKNOWN",IF(tblLoans[[#This Row],[MYR_raw]]-ROUND(tblLoans[[#This Row],[payments_applied_during_the_year]],2)&lt;=0,"MYR_MET","MYR_SHORT"))))</f>
        <v>REFUSED</v>
      </c>
      <c r="AC6" s="9" t="str">
        <f>IF(tblLoans[[#This Row],[MYR_verdict]]="REFUSED",IF(tblLoans[[#This Row],[Gate_verdict]]&lt;&gt;"COMPLYING","s 109N gate is "&amp;tblLoans[[#This Row],[Gate_verdict]]&amp;", so s 109E produces no repayment figure",IF(tblLoans[[#This Row],[Floor_year]]&lt;&gt;tblLoans[[#This Row],[Year_made_text]],"gate benchmark year differs from year_loan_made",IF(tblLoans[[#This Row],[Year_made_text]]=Summary!$B$2,"year of income is the year the loan was made (s 109E(1)(a), s 109P)",IF(IFERROR(VALUE(LEFT(tblLoans[[#This Row],[Year_made_text]],4))&gt;Summary!$B$4,FALSE),"loan made after the year of income",IF(AND(ISNUMBER(tblLoans[[#This Row],[Term_used]]),tblLoans[[#This Row],[Term_used]]&lt;=0),"nil remaining term under s 109E(6)","nil benchmark rate"))))),IF(tblLoans[[#This Row],[MYR_verdict]]="UNKNOWN",IF(OR(LOWER(TRIM(tblLoans[[#This Row],[Year_made_text]]&amp;""))={"","-","?","n/a","na","unk","unknown"}),"year_loan_made not established",IF(NOT(ISNUMBER(Summary!$B$3)),"no reviewed benchmark rate for the year of income",IF(NOT(ISNUMBER(tblLoans[[#This Row],[amalgamated_loan_unpaid_at_end_of_previous_year]])),"unpaid balance at end of previous year not established",IF(NOT(ISNUMBER(tblLoans[[#This Row],[payments_applied_during_the_year]])),"payments applied not established","remaining term not established")))),""))</f>
        <v>nil remaining term under s 109E(6)</v>
      </c>
      <c r="AD6" s="10" t="str">
        <f>IF(OR(tblLoans[[#This Row],[MYR_verdict]]="MYR_MET",tblLoans[[#This Row],[MYR_verdict]]="MYR_SHORT"),tblLoans[[#This Row],[MYR_raw]],"")</f>
        <v/>
      </c>
      <c r="AE6" s="10" t="str">
        <f>IF(OR(tblLoans[[#This Row],[MYR_verdict]]="MYR_MET",tblLoans[[#This Row],[MYR_verdict]]="MYR_SHORT"),MAX(0,ROUND(tblLoans[[#This Row],[MYR_raw]]-ROUND(tblLoans[[#This Row],[payments_applied_during_the_year]],2),2)),"")</f>
        <v/>
      </c>
      <c r="AF6" s="10" t="str">
        <f>IF(tblLoans[[#This Row],[MYR_verdict]]="MYR_SHORT",tblLoans[[#This Row],[Shortfall]],"")</f>
        <v/>
      </c>
      <c r="AG6" s="9">
        <f>IF(AND(tblLoans[[#This Row],[Status]]="REVIEWED",OR(tblLoans[[#This Row],[Gate_verdict]]="UNKNOWN",tblLoans[[#This Row],[MYR_verdict]]="UNKNOWN")),1,0)</f>
        <v>0</v>
      </c>
      <c r="AH6" s="9">
        <f>IF(OR(_xlfn.ISFORMULA(tblLoans[[#This Row],[loan_id]]),_xlfn.ISFORMULA(tblLoans[[#This Row],[borrower_reference]]),_xlfn.ISFORMULA(tblLoans[[#This Row],[year_loan_made]]),_xlfn.ISFORMULA(tblLoans[[#This Row],[written_agreement]]),_xlfn.ISFORMULA(tblLoans[[#This Row],[terms_in_place_before_lodgment_day]]),_xlfn.ISFORMULA(tblLoans[[#This Row],[maximum_term_years]]),_xlfn.ISFORMULA(tblLoans[[#This Row],[secured_by_registered_mortgage_over_real_property]]),_xlfn.ISFORMULA(tblLoans[[#This Row],[security_coverage_at_first_made]]),_xlfn.ISFORMULA(tblLoans[[#This Row],[interest_rate_for_years_after_year_loan_made]]),_xlfn.ISFORMULA(tblLoans[[#This Row],[amalgamated_loan_unpaid_at_end_of_previous_year]]),_xlfn.ISFORMULA(tblLoans[[#This Row],[remaining_term_years]]),_xlfn.ISFORMULA(tblLoans[[#This Row],[payments_applied_during_the_year]]),_xlfn.ISFORMULA(tblLoans[[#This Row],[out_of_scope_reason]]),_xlfn.ISFORMULA(tblLoans[[#This Row],[year_of_income_being_tested]])),1,0)</f>
        <v>0</v>
      </c>
      <c r="AI6" s="9" t="str">
        <f>IF(TRIM(tblLoans[[#This Row],[out_of_scope_reason]]&amp;"")&lt;&gt;"","",TRIM(IF(OR(AND(NOT(OR(LOWER(TRIM(tblLoans[[#This Row],[Year_made_text]]&amp;""))={"","-","?","n/a","na","unk","unknown"})),NOT(IFERROR(AND(LEN(tblLoans[[#This Row],[Year_made_text]])=7,MID(tblLoans[[#This Row],[Year_made_text]],5,1)="-",ISNUMBER(VALUE(MID(tblLoans[[#This Row],[Year_made_text]],1,1))),ISNUMBER(VALUE(MID(tblLoans[[#This Row],[Year_made_text]],2,1))),ISNUMBER(VALUE(MID(tblLoans[[#This Row],[Year_made_text]],3,1))),ISNUMBER(VALUE(MID(tblLoans[[#This Row],[Year_made_text]],4,1))),ISNUMBER(VALUE(MID(tblLoans[[#This Row],[Year_made_text]],6,1))),ISNUMBER(VALUE(MID(tblLoans[[#This Row],[Year_made_text]],7,1))),VALUE(RIGHT(tblLoans[[#This Row],[Year_made_text]],2))=MOD(VALUE(LEFT(tblLoans[[#This Row],[Year_made_text]],4))+1,100),VALUE(LEFT(tblLoans[[#This Row],[Year_made_text]],4))&gt;=1900,VALUE(LEFT(tblLoans[[#This Row],[Year_made_text]],4))&lt;=2100),FALSE))),AND(tblLoans[[#This Row],[Status]]="REVIEWED",AND(NOT(OR(LOWER(TRIM(tblLoans[[#This Row],[Year_tested_text]]&amp;""))={"","-","?","n/a","na","unk","unknown"})),NOT(IFERROR(AND(LEN(tblLoans[[#This Row],[Year_tested_text]])=7,MID(tblLoans[[#This Row],[Year_tested_text]],5,1)="-",ISNUMBER(VALUE(MID(tblLoans[[#This Row],[Year_tested_text]],1,1))),ISNUMBER(VALUE(MID(tblLoans[[#This Row],[Year_tested_text]],2,1))),ISNUMBER(VALUE(MID(tblLoans[[#This Row],[Year_tested_text]],3,1))),ISNUMBER(VALUE(MID(tblLoans[[#This Row],[Year_tested_text]],4,1))),ISNUMBER(VALUE(MID(tblLoans[[#This Row],[Year_tested_text]],6,1))),ISNUMBER(VALUE(MID(tblLoans[[#This Row],[Year_tested_text]],7,1))),VALUE(RIGHT(tblLoans[[#This Row],[Year_tested_text]],2))=MOD(VALUE(LEFT(tblLoans[[#This Row],[Year_tested_text]],4))+1,100),VALUE(LEFT(tblLoans[[#This Row],[Year_tested_text]],4))&gt;=1900,VALUE(LEFT(tblLoans[[#This Row],[Year_tested_text]],4))&lt;=2100),FALSE))))),"year label ","")&amp;IF(tblLoans[[#This Row],[Status]]&lt;&gt;"REVIEWED","",IF(OR(AND(NOT(OR(LOWER(TRIM(tblLoans[[#This Row],[written_agreement]]&amp;""))={"","-","?","n/a","na","unk","unknown"})),NOT(OR(LOWER(TRIM(tblLoans[[#This Row],[written_agreement]]&amp;""))={"0","1","f","false","n","no","t","true","y","yes"}))),AND(NOT(OR(LOWER(TRIM(tblLoans[[#This Row],[terms_in_place_before_lodgment_day]]&amp;""))={"","-","?","n/a","na","unk","unknown"})),NOT(OR(LOWER(TRIM(tblLoans[[#This Row],[terms_in_place_before_lodgment_day]]&amp;""))={"0","1","f","false","n","no","t","true","y","yes"}))),AND(NOT(OR(LOWER(TRIM(tblLoans[[#This Row],[secured_by_registered_mortgage_over_real_property]]&amp;""))={"","-","?","n/a","na","unk","unknown"})),NOT(OR(LOWER(TRIM(tblLoans[[#This Row],[secured_by_registered_mortgage_over_real_property]]&amp;""))={"0","1","f","false","n","no","t","true","y","yes"})))),"true/false/unknown ","")&amp;IF(OR(AND(NOT(OR(LOWER(TRIM(tblLoans[[#This Row],[maximum_term_years]]&amp;""))={"","-","?","n/a","na","unk","unknown"})),OR(NOT(ISNUMBER(tblLoans[[#This Row],[maximum_term_years]])),AND(ISNUMBER(tblLoans[[#This Row],[maximum_term_years]]),OR(tblLoans[[#This Row],[maximum_term_years]]&lt;0)))),AND(NOT(OR(LOWER(TRIM(tblLoans[[#This Row],[security_coverage_at_first_made]]&amp;""))={"","-","?","n/a","na","unk","unknown"})),OR(NOT(ISNUMBER(tblLoans[[#This Row],[security_coverage_at_first_made]])),AND(ISNUMBER(tblLoans[[#This Row],[security_coverage_at_first_made]]),OR(tblLoans[[#This Row],[security_coverage_at_first_made]]&lt;0)))),AND(NOT(OR(LOWER(TRIM(tblLoans[[#This Row],[interest_rate_for_years_after_year_loan_made]]&amp;""))={"","-","?","n/a","na","unk","unknown"})),OR(NOT(ISNUMBER(tblLoans[[#This Row],[interest_rate_for_years_after_year_loan_made]])),AND(ISNUMBER(tblLoans[[#This Row],[interest_rate_for_years_after_year_loan_made]]),OR(tblLoans[[#This Row],[interest_rate_for_years_after_year_loan_made]]&lt;0,tblLoans[[#This Row],[interest_rate_for_years_after_year_loan_made]]&gt;1)))),AND(NOT(OR(LOWER(TRIM(tblLoans[[#This Row],[amalgamated_loan_unpaid_at_end_of_previous_year]]&amp;""))={"","-","?","n/a","na","unk","unknown"})),OR(NOT(ISNUMBER(tblLoans[[#This Row],[amalgamated_loan_unpaid_at_end_of_previous_year]])),AND(ISNUMBER(tblLoans[[#This Row],[amalgamated_loan_unpaid_at_end_of_previous_year]]),OR(tblLoans[[#This Row],[amalgamated_loan_unpaid_at_end_of_previous_year]]&lt;0,ROUND(N(tblLoans[[#This Row],[amalgamated_loan_unpaid_at_end_of_previous_year]]),2)&lt;&gt;N(tblLoans[[#This Row],[amalgamated_loan_unpaid_at_end_of_previous_year]]),N(tblLoans[[#This Row],[amalgamated_loan_unpaid_at_end_of_previous_year]])&gt;1000000000000)))),AND(NOT(OR(LOWER(TRIM(tblLoans[[#This Row],[remaining_term_years]]&amp;""))={"","-","?","n/a","na","unk","unknown"})),OR(NOT(ISNUMBER(tblLoans[[#This Row],[remaining_term_years]])),AND(ISNUMBER(tblLoans[[#This Row],[remaining_term_years]]),OR(tblLoans[[#This Row],[remaining_term_years]]&lt;0)))),AND(NOT(OR(LOWER(TRIM(tblLoans[[#This Row],[payments_applied_during_the_year]]&amp;""))={"","-","?","n/a","na","unk","unknown"})),OR(NOT(ISNUMBER(tblLoans[[#This Row],[payments_applied_during_the_year]])),AND(ISNUMBER(tblLoans[[#This Row],[payments_applied_during_the_year]]),OR(tblLoans[[#This Row],[payments_applied_during_the_year]]&lt;0,ROUND(N(tblLoans[[#This Row],[payments_applied_during_the_year]]),2)&lt;&gt;N(tblLoans[[#This Row],[payments_applied_during_the_year]]),N(tblLoans[[#This Row],[payments_applied_during_the_year]])&gt;1000000000000))))),"number ",""))))</f>
        <v/>
      </c>
      <c r="AJ6" s="9">
        <f>IF(SUMPRODUCT((tblLoans[[#This Row],[loan_id]]&amp;""={"L-101","L-102","L-103","L-104","L-105","L-106","L-107","L-108"})*(tblLoans[[#This Row],[Year_made_text]]&amp;""={"2023-24","2022-23","2021-22","2024-25","2019-20","2020-21","2023-24","1996-97"}))&gt;0,1,0)</f>
        <v>1</v>
      </c>
      <c r="AK6" s="9" t="str">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Row],[year_loan_made]]&amp;"",_xlfn.UNICHAR(9),"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f>
        <v>2019-20</v>
      </c>
      <c r="AL6" s="9" t="str">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Row],[year_of_income_being_tested]]&amp;"",_xlfn.UNICHAR(9),"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f>
        <v/>
      </c>
    </row>
    <row r="7" spans="1:38" x14ac:dyDescent="0.25">
      <c r="A7" s="6" t="s">
        <v>65</v>
      </c>
      <c r="B7" s="6" t="s">
        <v>66</v>
      </c>
      <c r="C7" s="6" t="s">
        <v>67</v>
      </c>
      <c r="D7" s="7" t="s">
        <v>50</v>
      </c>
      <c r="E7" s="7" t="s">
        <v>50</v>
      </c>
      <c r="F7" s="7">
        <v>25</v>
      </c>
      <c r="G7" s="7" t="s">
        <v>50</v>
      </c>
      <c r="H7" s="7">
        <v>1.0900000000000001</v>
      </c>
      <c r="I7" s="7">
        <v>4.5199999999999997E-2</v>
      </c>
      <c r="J7" s="8">
        <v>300000</v>
      </c>
      <c r="K7" s="7">
        <v>15</v>
      </c>
      <c r="L7" s="8">
        <v>30000</v>
      </c>
      <c r="M7" s="6"/>
      <c r="N7" s="6"/>
      <c r="O7" s="9" t="str">
        <f>IF(TRIM(tblLoans[[#This Row],[out_of_scope_reason]]&amp;"")&lt;&gt;"","SKIPPED",IF(IFERROR(VALUE(LEFT(tblLoans[[#This Row],[Year_made_text]],4))&lt;1998,FALSE),"SKIPPED","REVIEWED"))</f>
        <v>REVIEWED</v>
      </c>
      <c r="P7" s="9" t="str">
        <f>IF(OR(LOWER(TRIM(tblLoans[[#This Row],[Year_tested_text]]&amp;""))={"","-","?","n/a","na","unk","unknown"}),tblLoans[[#This Row],[Year_made_text]],tblLoans[[#This Row],[Year_tested_text]])</f>
        <v>2020-21</v>
      </c>
      <c r="Q7" s="9">
        <f>IFERROR(INDEX(tblRates[rate],MATCH(tblLoans[[#This Row],[Floor_year]],tblRates[year_of_income],0)),"")</f>
        <v>4.5199999999999997E-2</v>
      </c>
      <c r="R7" s="9" t="str">
        <f>IF(OR(LOWER(TRIM(tblLoans[[#This Row],[written_agreement]]&amp;""))={"","-","?","n/a","na","unk","unknown"}),"UNKNOWN",IF(OR(LOWER(TRIM(tblLoans[[#This Row],[written_agreement]]&amp;""))={"1","t","true","y","yes"}),"PASS",IF(OR(LOWER(TRIM(tblLoans[[#This Row],[written_agreement]]&amp;""))={"0","f","false","n","no"}),"FAIL","UNKNOWN")))</f>
        <v>PASS</v>
      </c>
      <c r="S7" s="9" t="str">
        <f>IF(OR(LOWER(TRIM(tblLoans[[#This Row],[terms_in_place_before_lodgment_day]]&amp;""))={"","-","?","n/a","na","unk","unknown"}),"UNKNOWN",IF(OR(LOWER(TRIM(tblLoans[[#This Row],[terms_in_place_before_lodgment_day]]&amp;""))={"1","t","true","y","yes"}),"PASS",IF(OR(LOWER(TRIM(tblLoans[[#This Row],[terms_in_place_before_lodgment_day]]&amp;""))={"0","f","false","n","no"}),"FAIL","UNKNOWN")))</f>
        <v>PASS</v>
      </c>
      <c r="T7" s="9" t="str">
        <f>IF(NOT(ISNUMBER(tblLoans[[#This Row],[interest_rate_for_years_after_year_loan_made]])),"UNKNOWN",IF(tblLoans[[#This Row],[Floor_rate]]="","UNKNOWN",IF(tblLoans[[#This Row],[interest_rate_for_years_after_year_loan_made]]&gt;=tblLoans[[#This Row],[Floor_rate]],"PASS","FAIL")))</f>
        <v>PASS</v>
      </c>
      <c r="U7" s="9" t="str">
        <f>IF(OR(LOWER(TRIM(tblLoans[[#This Row],[secured_by_registered_mortgage_over_real_property]]&amp;""))={"","-","?","n/a","na","unk","unknown"}),"UNKNOWN",IF(OR(LOWER(TRIM(tblLoans[[#This Row],[secured_by_registered_mortgage_over_real_property]]&amp;""))={"1","t","true","y","yes"}),"PASS",IF(OR(LOWER(TRIM(tblLoans[[#This Row],[secured_by_registered_mortgage_over_real_property]]&amp;""))={"0","f","false","n","no"}),"FAIL","UNKNOWN")))</f>
        <v>PASS</v>
      </c>
      <c r="V7" s="9">
        <f>IF(tblLoans[[#This Row],[Limb_secured]]="FAIL",7,IF(tblLoans[[#This Row],[Limb_secured]]="PASS",IF(ISNUMBER(tblLoans[[#This Row],[security_coverage_at_first_made]]),IF(tblLoans[[#This Row],[security_coverage_at_first_made]]&gt;=1.1,25,7),""),""))</f>
        <v>7</v>
      </c>
      <c r="W7" s="9" t="str">
        <f>IF(NOT(ISNUMBER(tblLoans[[#This Row],[maximum_term_years]])),"UNKNOWN",IF(tblLoans[[#This Row],[Allowed_term_raw]]="",IF(tblLoans[[#This Row],[maximum_term_years]]&lt;=7,"PASS","UNKNOWN"),IF(tblLoans[[#This Row],[maximum_term_years]]&lt;=tblLoans[[#This Row],[Allowed_term_raw]],"PASS","FAIL")))</f>
        <v>FAIL</v>
      </c>
      <c r="X7" s="9" t="str">
        <f>IF(tblLoans[[#This Row],[Status]]="SKIPPED","",IF(OR(LOWER(TRIM(tblLoans[[#This Row],[Floor_year]]&amp;""))={"","-","?","n/a","na","unk","unknown"}),"UNKNOWN",IF(OR(tblLoans[[#This Row],[Limb_a_written]]="FAIL",tblLoans[[#This Row],[Limb_lodgment]]="FAIL",tblLoans[[#This Row],[Limb_b_rate]]="FAIL",tblLoans[[#This Row],[Limb_c_term]]="FAIL"),"NOT_COMPLYING",IF(OR(tblLoans[[#This Row],[Limb_a_written]]="UNKNOWN",tblLoans[[#This Row],[Limb_lodgment]]="UNKNOWN",tblLoans[[#This Row],[Limb_b_rate]]="UNKNOWN",tblLoans[[#This Row],[Limb_c_term]]="UNKNOWN"),"UNKNOWN","COMPLYING"))))</f>
        <v>NOT_COMPLYING</v>
      </c>
      <c r="Y7" s="9">
        <f>IF(OR(tblLoans[[#This Row],[Status]]="SKIPPED",OR(LOWER(TRIM(tblLoans[[#This Row],[Floor_year]]&amp;""))={"","-","?","n/a","na","unk","unknown"})),"",IF(tblLoans[[#This Row],[Allowed_term_raw]]&lt;&gt;"",tblLoans[[#This Row],[Allowed_term_raw]],IF(AND(ISNUMBER(tblLoans[[#This Row],[maximum_term_years]]),tblLoans[[#This Row],[maximum_term_years]]&lt;=7),7,"")))</f>
        <v>7</v>
      </c>
      <c r="Z7" s="9">
        <f>IF(tblLoans[[#This Row],[Status]]="SKIPPED","",IF(ISNUMBER(tblLoans[[#This Row],[remaining_term_years]]),ROUNDUP(tblLoans[[#This Row],[remaining_term_years]],0),""))</f>
        <v>15</v>
      </c>
      <c r="AA7" s="9">
        <f>IF(AND(ISNUMBER(tblLoans[[#This Row],[amalgamated_loan_unpaid_at_end_of_previous_year]]),ISNUMBER(Summary!$B$3),Summary!$B$3&gt;0,ISNUMBER(tblLoans[[#This Row],[Term_used]]),tblLoans[[#This Row],[Term_used]]&gt;0),ROUND(tblLoans[[#This Row],[amalgamated_loan_unpaid_at_end_of_previous_year]]*Summary!$B$3/(1-(1/(1+Summary!$B$3))^tblLoans[[#This Row],[Term_used]]),2),"")</f>
        <v>36713.81</v>
      </c>
      <c r="AB7" s="9" t="str">
        <f>IF(tblLoans[[#This Row],[Status]]="SKIPPED","",IF(OR(tblLoans[[#This Row],[Gate_verdict]]&lt;&gt;"COMPLYING",AND(NOT(OR(LOWER(TRIM(tblLoans[[#This Row],[Year_made_text]]&amp;""))={"","-","?","n/a","na","unk","unknown"})),tblLoans[[#This Row],[Floor_year]]&lt;&gt;tblLoans[[#This Row],[Year_made_text]]),tblLoans[[#This Row],[Year_made_text]]=Summary!$B$2,IFERROR(VALUE(LEFT(tblLoans[[#This Row],[Year_made_text]],4))&gt;Summary!$B$4,FALSE),AND(ISNUMBER(tblLoans[[#This Row],[Term_used]]),tblLoans[[#This Row],[Term_used]]&lt;=0),AND(ISNUMBER(Summary!$B$3),Summary!$B$3&lt;=0)),"REFUSED",IF(OR(OR(LOWER(TRIM(tblLoans[[#This Row],[Year_made_text]]&amp;""))={"","-","?","n/a","na","unk","unknown"}),NOT(ISNUMBER(Summary!$B$3)),NOT(ISNUMBER(tblLoans[[#This Row],[amalgamated_loan_unpaid_at_end_of_previous_year]])),NOT(ISNUMBER(tblLoans[[#This Row],[payments_applied_during_the_year]])),NOT(ISNUMBER(tblLoans[[#This Row],[Term_used]]))),"UNKNOWN",IF(tblLoans[[#This Row],[MYR_raw]]-ROUND(tblLoans[[#This Row],[payments_applied_during_the_year]],2)&lt;=0,"MYR_MET","MYR_SHORT"))))</f>
        <v>REFUSED</v>
      </c>
      <c r="AC7" s="9" t="str">
        <f>IF(tblLoans[[#This Row],[MYR_verdict]]="REFUSED",IF(tblLoans[[#This Row],[Gate_verdict]]&lt;&gt;"COMPLYING","s 109N gate is "&amp;tblLoans[[#This Row],[Gate_verdict]]&amp;", so s 109E produces no repayment figure",IF(tblLoans[[#This Row],[Floor_year]]&lt;&gt;tblLoans[[#This Row],[Year_made_text]],"gate benchmark year differs from year_loan_made",IF(tblLoans[[#This Row],[Year_made_text]]=Summary!$B$2,"year of income is the year the loan was made (s 109E(1)(a), s 109P)",IF(IFERROR(VALUE(LEFT(tblLoans[[#This Row],[Year_made_text]],4))&gt;Summary!$B$4,FALSE),"loan made after the year of income",IF(AND(ISNUMBER(tblLoans[[#This Row],[Term_used]]),tblLoans[[#This Row],[Term_used]]&lt;=0),"nil remaining term under s 109E(6)","nil benchmark rate"))))),IF(tblLoans[[#This Row],[MYR_verdict]]="UNKNOWN",IF(OR(LOWER(TRIM(tblLoans[[#This Row],[Year_made_text]]&amp;""))={"","-","?","n/a","na","unk","unknown"}),"year_loan_made not established",IF(NOT(ISNUMBER(Summary!$B$3)),"no reviewed benchmark rate for the year of income",IF(NOT(ISNUMBER(tblLoans[[#This Row],[amalgamated_loan_unpaid_at_end_of_previous_year]])),"unpaid balance at end of previous year not established",IF(NOT(ISNUMBER(tblLoans[[#This Row],[payments_applied_during_the_year]])),"payments applied not established","remaining term not established")))),""))</f>
        <v>s 109N gate is NOT_COMPLYING, so s 109E produces no repayment figure</v>
      </c>
      <c r="AD7" s="10" t="str">
        <f>IF(OR(tblLoans[[#This Row],[MYR_verdict]]="MYR_MET",tblLoans[[#This Row],[MYR_verdict]]="MYR_SHORT"),tblLoans[[#This Row],[MYR_raw]],"")</f>
        <v/>
      </c>
      <c r="AE7" s="10" t="str">
        <f>IF(OR(tblLoans[[#This Row],[MYR_verdict]]="MYR_MET",tblLoans[[#This Row],[MYR_verdict]]="MYR_SHORT"),MAX(0,ROUND(tblLoans[[#This Row],[MYR_raw]]-ROUND(tblLoans[[#This Row],[payments_applied_during_the_year]],2),2)),"")</f>
        <v/>
      </c>
      <c r="AF7" s="10" t="str">
        <f>IF(tblLoans[[#This Row],[MYR_verdict]]="MYR_SHORT",tblLoans[[#This Row],[Shortfall]],"")</f>
        <v/>
      </c>
      <c r="AG7" s="9">
        <f>IF(AND(tblLoans[[#This Row],[Status]]="REVIEWED",OR(tblLoans[[#This Row],[Gate_verdict]]="UNKNOWN",tblLoans[[#This Row],[MYR_verdict]]="UNKNOWN")),1,0)</f>
        <v>0</v>
      </c>
      <c r="AH7" s="9">
        <f>IF(OR(_xlfn.ISFORMULA(tblLoans[[#This Row],[loan_id]]),_xlfn.ISFORMULA(tblLoans[[#This Row],[borrower_reference]]),_xlfn.ISFORMULA(tblLoans[[#This Row],[year_loan_made]]),_xlfn.ISFORMULA(tblLoans[[#This Row],[written_agreement]]),_xlfn.ISFORMULA(tblLoans[[#This Row],[terms_in_place_before_lodgment_day]]),_xlfn.ISFORMULA(tblLoans[[#This Row],[maximum_term_years]]),_xlfn.ISFORMULA(tblLoans[[#This Row],[secured_by_registered_mortgage_over_real_property]]),_xlfn.ISFORMULA(tblLoans[[#This Row],[security_coverage_at_first_made]]),_xlfn.ISFORMULA(tblLoans[[#This Row],[interest_rate_for_years_after_year_loan_made]]),_xlfn.ISFORMULA(tblLoans[[#This Row],[amalgamated_loan_unpaid_at_end_of_previous_year]]),_xlfn.ISFORMULA(tblLoans[[#This Row],[remaining_term_years]]),_xlfn.ISFORMULA(tblLoans[[#This Row],[payments_applied_during_the_year]]),_xlfn.ISFORMULA(tblLoans[[#This Row],[out_of_scope_reason]]),_xlfn.ISFORMULA(tblLoans[[#This Row],[year_of_income_being_tested]])),1,0)</f>
        <v>0</v>
      </c>
      <c r="AI7" s="9" t="str">
        <f>IF(TRIM(tblLoans[[#This Row],[out_of_scope_reason]]&amp;"")&lt;&gt;"","",TRIM(IF(OR(AND(NOT(OR(LOWER(TRIM(tblLoans[[#This Row],[Year_made_text]]&amp;""))={"","-","?","n/a","na","unk","unknown"})),NOT(IFERROR(AND(LEN(tblLoans[[#This Row],[Year_made_text]])=7,MID(tblLoans[[#This Row],[Year_made_text]],5,1)="-",ISNUMBER(VALUE(MID(tblLoans[[#This Row],[Year_made_text]],1,1))),ISNUMBER(VALUE(MID(tblLoans[[#This Row],[Year_made_text]],2,1))),ISNUMBER(VALUE(MID(tblLoans[[#This Row],[Year_made_text]],3,1))),ISNUMBER(VALUE(MID(tblLoans[[#This Row],[Year_made_text]],4,1))),ISNUMBER(VALUE(MID(tblLoans[[#This Row],[Year_made_text]],6,1))),ISNUMBER(VALUE(MID(tblLoans[[#This Row],[Year_made_text]],7,1))),VALUE(RIGHT(tblLoans[[#This Row],[Year_made_text]],2))=MOD(VALUE(LEFT(tblLoans[[#This Row],[Year_made_text]],4))+1,100),VALUE(LEFT(tblLoans[[#This Row],[Year_made_text]],4))&gt;=1900,VALUE(LEFT(tblLoans[[#This Row],[Year_made_text]],4))&lt;=2100),FALSE))),AND(tblLoans[[#This Row],[Status]]="REVIEWED",AND(NOT(OR(LOWER(TRIM(tblLoans[[#This Row],[Year_tested_text]]&amp;""))={"","-","?","n/a","na","unk","unknown"})),NOT(IFERROR(AND(LEN(tblLoans[[#This Row],[Year_tested_text]])=7,MID(tblLoans[[#This Row],[Year_tested_text]],5,1)="-",ISNUMBER(VALUE(MID(tblLoans[[#This Row],[Year_tested_text]],1,1))),ISNUMBER(VALUE(MID(tblLoans[[#This Row],[Year_tested_text]],2,1))),ISNUMBER(VALUE(MID(tblLoans[[#This Row],[Year_tested_text]],3,1))),ISNUMBER(VALUE(MID(tblLoans[[#This Row],[Year_tested_text]],4,1))),ISNUMBER(VALUE(MID(tblLoans[[#This Row],[Year_tested_text]],6,1))),ISNUMBER(VALUE(MID(tblLoans[[#This Row],[Year_tested_text]],7,1))),VALUE(RIGHT(tblLoans[[#This Row],[Year_tested_text]],2))=MOD(VALUE(LEFT(tblLoans[[#This Row],[Year_tested_text]],4))+1,100),VALUE(LEFT(tblLoans[[#This Row],[Year_tested_text]],4))&gt;=1900,VALUE(LEFT(tblLoans[[#This Row],[Year_tested_text]],4))&lt;=2100),FALSE))))),"year label ","")&amp;IF(tblLoans[[#This Row],[Status]]&lt;&gt;"REVIEWED","",IF(OR(AND(NOT(OR(LOWER(TRIM(tblLoans[[#This Row],[written_agreement]]&amp;""))={"","-","?","n/a","na","unk","unknown"})),NOT(OR(LOWER(TRIM(tblLoans[[#This Row],[written_agreement]]&amp;""))={"0","1","f","false","n","no","t","true","y","yes"}))),AND(NOT(OR(LOWER(TRIM(tblLoans[[#This Row],[terms_in_place_before_lodgment_day]]&amp;""))={"","-","?","n/a","na","unk","unknown"})),NOT(OR(LOWER(TRIM(tblLoans[[#This Row],[terms_in_place_before_lodgment_day]]&amp;""))={"0","1","f","false","n","no","t","true","y","yes"}))),AND(NOT(OR(LOWER(TRIM(tblLoans[[#This Row],[secured_by_registered_mortgage_over_real_property]]&amp;""))={"","-","?","n/a","na","unk","unknown"})),NOT(OR(LOWER(TRIM(tblLoans[[#This Row],[secured_by_registered_mortgage_over_real_property]]&amp;""))={"0","1","f","false","n","no","t","true","y","yes"})))),"true/false/unknown ","")&amp;IF(OR(AND(NOT(OR(LOWER(TRIM(tblLoans[[#This Row],[maximum_term_years]]&amp;""))={"","-","?","n/a","na","unk","unknown"})),OR(NOT(ISNUMBER(tblLoans[[#This Row],[maximum_term_years]])),AND(ISNUMBER(tblLoans[[#This Row],[maximum_term_years]]),OR(tblLoans[[#This Row],[maximum_term_years]]&lt;0)))),AND(NOT(OR(LOWER(TRIM(tblLoans[[#This Row],[security_coverage_at_first_made]]&amp;""))={"","-","?","n/a","na","unk","unknown"})),OR(NOT(ISNUMBER(tblLoans[[#This Row],[security_coverage_at_first_made]])),AND(ISNUMBER(tblLoans[[#This Row],[security_coverage_at_first_made]]),OR(tblLoans[[#This Row],[security_coverage_at_first_made]]&lt;0)))),AND(NOT(OR(LOWER(TRIM(tblLoans[[#This Row],[interest_rate_for_years_after_year_loan_made]]&amp;""))={"","-","?","n/a","na","unk","unknown"})),OR(NOT(ISNUMBER(tblLoans[[#This Row],[interest_rate_for_years_after_year_loan_made]])),AND(ISNUMBER(tblLoans[[#This Row],[interest_rate_for_years_after_year_loan_made]]),OR(tblLoans[[#This Row],[interest_rate_for_years_after_year_loan_made]]&lt;0,tblLoans[[#This Row],[interest_rate_for_years_after_year_loan_made]]&gt;1)))),AND(NOT(OR(LOWER(TRIM(tblLoans[[#This Row],[amalgamated_loan_unpaid_at_end_of_previous_year]]&amp;""))={"","-","?","n/a","na","unk","unknown"})),OR(NOT(ISNUMBER(tblLoans[[#This Row],[amalgamated_loan_unpaid_at_end_of_previous_year]])),AND(ISNUMBER(tblLoans[[#This Row],[amalgamated_loan_unpaid_at_end_of_previous_year]]),OR(tblLoans[[#This Row],[amalgamated_loan_unpaid_at_end_of_previous_year]]&lt;0,ROUND(N(tblLoans[[#This Row],[amalgamated_loan_unpaid_at_end_of_previous_year]]),2)&lt;&gt;N(tblLoans[[#This Row],[amalgamated_loan_unpaid_at_end_of_previous_year]]),N(tblLoans[[#This Row],[amalgamated_loan_unpaid_at_end_of_previous_year]])&gt;1000000000000)))),AND(NOT(OR(LOWER(TRIM(tblLoans[[#This Row],[remaining_term_years]]&amp;""))={"","-","?","n/a","na","unk","unknown"})),OR(NOT(ISNUMBER(tblLoans[[#This Row],[remaining_term_years]])),AND(ISNUMBER(tblLoans[[#This Row],[remaining_term_years]]),OR(tblLoans[[#This Row],[remaining_term_years]]&lt;0)))),AND(NOT(OR(LOWER(TRIM(tblLoans[[#This Row],[payments_applied_during_the_year]]&amp;""))={"","-","?","n/a","na","unk","unknown"})),OR(NOT(ISNUMBER(tblLoans[[#This Row],[payments_applied_during_the_year]])),AND(ISNUMBER(tblLoans[[#This Row],[payments_applied_during_the_year]]),OR(tblLoans[[#This Row],[payments_applied_during_the_year]]&lt;0,ROUND(N(tblLoans[[#This Row],[payments_applied_during_the_year]]),2)&lt;&gt;N(tblLoans[[#This Row],[payments_applied_during_the_year]]),N(tblLoans[[#This Row],[payments_applied_during_the_year]])&gt;1000000000000))))),"number ",""))))</f>
        <v/>
      </c>
      <c r="AJ7" s="9">
        <f>IF(SUMPRODUCT((tblLoans[[#This Row],[loan_id]]&amp;""={"L-101","L-102","L-103","L-104","L-105","L-106","L-107","L-108"})*(tblLoans[[#This Row],[Year_made_text]]&amp;""={"2023-24","2022-23","2021-22","2024-25","2019-20","2020-21","2023-24","1996-97"}))&gt;0,1,0)</f>
        <v>1</v>
      </c>
      <c r="AK7" s="9" t="str">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Row],[year_loan_made]]&amp;"",_xlfn.UNICHAR(9),"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f>
        <v>2020-21</v>
      </c>
      <c r="AL7" s="9" t="str">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Row],[year_of_income_being_tested]]&amp;"",_xlfn.UNICHAR(9),"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f>
        <v/>
      </c>
    </row>
    <row r="8" spans="1:38" x14ac:dyDescent="0.25">
      <c r="A8" s="6" t="s">
        <v>68</v>
      </c>
      <c r="B8" s="6" t="s">
        <v>69</v>
      </c>
      <c r="C8" s="6" t="s">
        <v>49</v>
      </c>
      <c r="D8" s="7" t="s">
        <v>52</v>
      </c>
      <c r="E8" s="7" t="s">
        <v>52</v>
      </c>
      <c r="F8" s="7" t="s">
        <v>52</v>
      </c>
      <c r="G8" s="7" t="s">
        <v>52</v>
      </c>
      <c r="H8" s="7" t="s">
        <v>52</v>
      </c>
      <c r="I8" s="7" t="s">
        <v>52</v>
      </c>
      <c r="J8" s="8" t="s">
        <v>52</v>
      </c>
      <c r="K8" s="7" t="s">
        <v>52</v>
      </c>
      <c r="L8" s="8" t="s">
        <v>52</v>
      </c>
      <c r="M8" s="6" t="s">
        <v>70</v>
      </c>
      <c r="N8" s="6"/>
      <c r="O8" s="9" t="str">
        <f>IF(TRIM(tblLoans[[#This Row],[out_of_scope_reason]]&amp;"")&lt;&gt;"","SKIPPED",IF(IFERROR(VALUE(LEFT(tblLoans[[#This Row],[Year_made_text]],4))&lt;1998,FALSE),"SKIPPED","REVIEWED"))</f>
        <v>SKIPPED</v>
      </c>
      <c r="P8" s="9" t="str">
        <f>IF(OR(LOWER(TRIM(tblLoans[[#This Row],[Year_tested_text]]&amp;""))={"","-","?","n/a","na","unk","unknown"}),tblLoans[[#This Row],[Year_made_text]],tblLoans[[#This Row],[Year_tested_text]])</f>
        <v>2023-24</v>
      </c>
      <c r="Q8" s="9">
        <f>IFERROR(INDEX(tblRates[rate],MATCH(tblLoans[[#This Row],[Floor_year]],tblRates[year_of_income],0)),"")</f>
        <v>8.2699999999999996E-2</v>
      </c>
      <c r="R8" s="9" t="str">
        <f>IF(OR(LOWER(TRIM(tblLoans[[#This Row],[written_agreement]]&amp;""))={"","-","?","n/a","na","unk","unknown"}),"UNKNOWN",IF(OR(LOWER(TRIM(tblLoans[[#This Row],[written_agreement]]&amp;""))={"1","t","true","y","yes"}),"PASS",IF(OR(LOWER(TRIM(tblLoans[[#This Row],[written_agreement]]&amp;""))={"0","f","false","n","no"}),"FAIL","UNKNOWN")))</f>
        <v>UNKNOWN</v>
      </c>
      <c r="S8" s="9" t="str">
        <f>IF(OR(LOWER(TRIM(tblLoans[[#This Row],[terms_in_place_before_lodgment_day]]&amp;""))={"","-","?","n/a","na","unk","unknown"}),"UNKNOWN",IF(OR(LOWER(TRIM(tblLoans[[#This Row],[terms_in_place_before_lodgment_day]]&amp;""))={"1","t","true","y","yes"}),"PASS",IF(OR(LOWER(TRIM(tblLoans[[#This Row],[terms_in_place_before_lodgment_day]]&amp;""))={"0","f","false","n","no"}),"FAIL","UNKNOWN")))</f>
        <v>UNKNOWN</v>
      </c>
      <c r="T8" s="9" t="str">
        <f>IF(NOT(ISNUMBER(tblLoans[[#This Row],[interest_rate_for_years_after_year_loan_made]])),"UNKNOWN",IF(tblLoans[[#This Row],[Floor_rate]]="","UNKNOWN",IF(tblLoans[[#This Row],[interest_rate_for_years_after_year_loan_made]]&gt;=tblLoans[[#This Row],[Floor_rate]],"PASS","FAIL")))</f>
        <v>UNKNOWN</v>
      </c>
      <c r="U8" s="9" t="str">
        <f>IF(OR(LOWER(TRIM(tblLoans[[#This Row],[secured_by_registered_mortgage_over_real_property]]&amp;""))={"","-","?","n/a","na","unk","unknown"}),"UNKNOWN",IF(OR(LOWER(TRIM(tblLoans[[#This Row],[secured_by_registered_mortgage_over_real_property]]&amp;""))={"1","t","true","y","yes"}),"PASS",IF(OR(LOWER(TRIM(tblLoans[[#This Row],[secured_by_registered_mortgage_over_real_property]]&amp;""))={"0","f","false","n","no"}),"FAIL","UNKNOWN")))</f>
        <v>UNKNOWN</v>
      </c>
      <c r="V8" s="9" t="str">
        <f>IF(tblLoans[[#This Row],[Limb_secured]]="FAIL",7,IF(tblLoans[[#This Row],[Limb_secured]]="PASS",IF(ISNUMBER(tblLoans[[#This Row],[security_coverage_at_first_made]]),IF(tblLoans[[#This Row],[security_coverage_at_first_made]]&gt;=1.1,25,7),""),""))</f>
        <v/>
      </c>
      <c r="W8" s="9" t="str">
        <f>IF(NOT(ISNUMBER(tblLoans[[#This Row],[maximum_term_years]])),"UNKNOWN",IF(tblLoans[[#This Row],[Allowed_term_raw]]="",IF(tblLoans[[#This Row],[maximum_term_years]]&lt;=7,"PASS","UNKNOWN"),IF(tblLoans[[#This Row],[maximum_term_years]]&lt;=tblLoans[[#This Row],[Allowed_term_raw]],"PASS","FAIL")))</f>
        <v>UNKNOWN</v>
      </c>
      <c r="X8" s="9" t="str">
        <f>IF(tblLoans[[#This Row],[Status]]="SKIPPED","",IF(OR(LOWER(TRIM(tblLoans[[#This Row],[Floor_year]]&amp;""))={"","-","?","n/a","na","unk","unknown"}),"UNKNOWN",IF(OR(tblLoans[[#This Row],[Limb_a_written]]="FAIL",tblLoans[[#This Row],[Limb_lodgment]]="FAIL",tblLoans[[#This Row],[Limb_b_rate]]="FAIL",tblLoans[[#This Row],[Limb_c_term]]="FAIL"),"NOT_COMPLYING",IF(OR(tblLoans[[#This Row],[Limb_a_written]]="UNKNOWN",tblLoans[[#This Row],[Limb_lodgment]]="UNKNOWN",tblLoans[[#This Row],[Limb_b_rate]]="UNKNOWN",tblLoans[[#This Row],[Limb_c_term]]="UNKNOWN"),"UNKNOWN","COMPLYING"))))</f>
        <v/>
      </c>
      <c r="Y8" s="9" t="str">
        <f>IF(OR(tblLoans[[#This Row],[Status]]="SKIPPED",OR(LOWER(TRIM(tblLoans[[#This Row],[Floor_year]]&amp;""))={"","-","?","n/a","na","unk","unknown"})),"",IF(tblLoans[[#This Row],[Allowed_term_raw]]&lt;&gt;"",tblLoans[[#This Row],[Allowed_term_raw]],IF(AND(ISNUMBER(tblLoans[[#This Row],[maximum_term_years]]),tblLoans[[#This Row],[maximum_term_years]]&lt;=7),7,"")))</f>
        <v/>
      </c>
      <c r="Z8" s="9" t="str">
        <f>IF(tblLoans[[#This Row],[Status]]="SKIPPED","",IF(ISNUMBER(tblLoans[[#This Row],[remaining_term_years]]),ROUNDUP(tblLoans[[#This Row],[remaining_term_years]],0),""))</f>
        <v/>
      </c>
      <c r="AA8" s="9" t="str">
        <f>IF(AND(ISNUMBER(tblLoans[[#This Row],[amalgamated_loan_unpaid_at_end_of_previous_year]]),ISNUMBER(Summary!$B$3),Summary!$B$3&gt;0,ISNUMBER(tblLoans[[#This Row],[Term_used]]),tblLoans[[#This Row],[Term_used]]&gt;0),ROUND(tblLoans[[#This Row],[amalgamated_loan_unpaid_at_end_of_previous_year]]*Summary!$B$3/(1-(1/(1+Summary!$B$3))^tblLoans[[#This Row],[Term_used]]),2),"")</f>
        <v/>
      </c>
      <c r="AB8" s="9" t="str">
        <f>IF(tblLoans[[#This Row],[Status]]="SKIPPED","",IF(OR(tblLoans[[#This Row],[Gate_verdict]]&lt;&gt;"COMPLYING",AND(NOT(OR(LOWER(TRIM(tblLoans[[#This Row],[Year_made_text]]&amp;""))={"","-","?","n/a","na","unk","unknown"})),tblLoans[[#This Row],[Floor_year]]&lt;&gt;tblLoans[[#This Row],[Year_made_text]]),tblLoans[[#This Row],[Year_made_text]]=Summary!$B$2,IFERROR(VALUE(LEFT(tblLoans[[#This Row],[Year_made_text]],4))&gt;Summary!$B$4,FALSE),AND(ISNUMBER(tblLoans[[#This Row],[Term_used]]),tblLoans[[#This Row],[Term_used]]&lt;=0),AND(ISNUMBER(Summary!$B$3),Summary!$B$3&lt;=0)),"REFUSED",IF(OR(OR(LOWER(TRIM(tblLoans[[#This Row],[Year_made_text]]&amp;""))={"","-","?","n/a","na","unk","unknown"}),NOT(ISNUMBER(Summary!$B$3)),NOT(ISNUMBER(tblLoans[[#This Row],[amalgamated_loan_unpaid_at_end_of_previous_year]])),NOT(ISNUMBER(tblLoans[[#This Row],[payments_applied_during_the_year]])),NOT(ISNUMBER(tblLoans[[#This Row],[Term_used]]))),"UNKNOWN",IF(tblLoans[[#This Row],[MYR_raw]]-ROUND(tblLoans[[#This Row],[payments_applied_during_the_year]],2)&lt;=0,"MYR_MET","MYR_SHORT"))))</f>
        <v/>
      </c>
      <c r="AC8" s="9" t="str">
        <f>IF(tblLoans[[#This Row],[MYR_verdict]]="REFUSED",IF(tblLoans[[#This Row],[Gate_verdict]]&lt;&gt;"COMPLYING","s 109N gate is "&amp;tblLoans[[#This Row],[Gate_verdict]]&amp;", so s 109E produces no repayment figure",IF(tblLoans[[#This Row],[Floor_year]]&lt;&gt;tblLoans[[#This Row],[Year_made_text]],"gate benchmark year differs from year_loan_made",IF(tblLoans[[#This Row],[Year_made_text]]=Summary!$B$2,"year of income is the year the loan was made (s 109E(1)(a), s 109P)",IF(IFERROR(VALUE(LEFT(tblLoans[[#This Row],[Year_made_text]],4))&gt;Summary!$B$4,FALSE),"loan made after the year of income",IF(AND(ISNUMBER(tblLoans[[#This Row],[Term_used]]),tblLoans[[#This Row],[Term_used]]&lt;=0),"nil remaining term under s 109E(6)","nil benchmark rate"))))),IF(tblLoans[[#This Row],[MYR_verdict]]="UNKNOWN",IF(OR(LOWER(TRIM(tblLoans[[#This Row],[Year_made_text]]&amp;""))={"","-","?","n/a","na","unk","unknown"}),"year_loan_made not established",IF(NOT(ISNUMBER(Summary!$B$3)),"no reviewed benchmark rate for the year of income",IF(NOT(ISNUMBER(tblLoans[[#This Row],[amalgamated_loan_unpaid_at_end_of_previous_year]])),"unpaid balance at end of previous year not established",IF(NOT(ISNUMBER(tblLoans[[#This Row],[payments_applied_during_the_year]])),"payments applied not established","remaining term not established")))),""))</f>
        <v/>
      </c>
      <c r="AD8" s="10" t="str">
        <f>IF(OR(tblLoans[[#This Row],[MYR_verdict]]="MYR_MET",tblLoans[[#This Row],[MYR_verdict]]="MYR_SHORT"),tblLoans[[#This Row],[MYR_raw]],"")</f>
        <v/>
      </c>
      <c r="AE8" s="10" t="str">
        <f>IF(OR(tblLoans[[#This Row],[MYR_verdict]]="MYR_MET",tblLoans[[#This Row],[MYR_verdict]]="MYR_SHORT"),MAX(0,ROUND(tblLoans[[#This Row],[MYR_raw]]-ROUND(tblLoans[[#This Row],[payments_applied_during_the_year]],2),2)),"")</f>
        <v/>
      </c>
      <c r="AF8" s="10" t="str">
        <f>IF(tblLoans[[#This Row],[MYR_verdict]]="MYR_SHORT",tblLoans[[#This Row],[Shortfall]],"")</f>
        <v/>
      </c>
      <c r="AG8" s="9">
        <f>IF(AND(tblLoans[[#This Row],[Status]]="REVIEWED",OR(tblLoans[[#This Row],[Gate_verdict]]="UNKNOWN",tblLoans[[#This Row],[MYR_verdict]]="UNKNOWN")),1,0)</f>
        <v>0</v>
      </c>
      <c r="AH8" s="9">
        <f>IF(OR(_xlfn.ISFORMULA(tblLoans[[#This Row],[loan_id]]),_xlfn.ISFORMULA(tblLoans[[#This Row],[borrower_reference]]),_xlfn.ISFORMULA(tblLoans[[#This Row],[year_loan_made]]),_xlfn.ISFORMULA(tblLoans[[#This Row],[written_agreement]]),_xlfn.ISFORMULA(tblLoans[[#This Row],[terms_in_place_before_lodgment_day]]),_xlfn.ISFORMULA(tblLoans[[#This Row],[maximum_term_years]]),_xlfn.ISFORMULA(tblLoans[[#This Row],[secured_by_registered_mortgage_over_real_property]]),_xlfn.ISFORMULA(tblLoans[[#This Row],[security_coverage_at_first_made]]),_xlfn.ISFORMULA(tblLoans[[#This Row],[interest_rate_for_years_after_year_loan_made]]),_xlfn.ISFORMULA(tblLoans[[#This Row],[amalgamated_loan_unpaid_at_end_of_previous_year]]),_xlfn.ISFORMULA(tblLoans[[#This Row],[remaining_term_years]]),_xlfn.ISFORMULA(tblLoans[[#This Row],[payments_applied_during_the_year]]),_xlfn.ISFORMULA(tblLoans[[#This Row],[out_of_scope_reason]]),_xlfn.ISFORMULA(tblLoans[[#This Row],[year_of_income_being_tested]])),1,0)</f>
        <v>0</v>
      </c>
      <c r="AI8" s="9" t="str">
        <f>IF(TRIM(tblLoans[[#This Row],[out_of_scope_reason]]&amp;"")&lt;&gt;"","",TRIM(IF(OR(AND(NOT(OR(LOWER(TRIM(tblLoans[[#This Row],[Year_made_text]]&amp;""))={"","-","?","n/a","na","unk","unknown"})),NOT(IFERROR(AND(LEN(tblLoans[[#This Row],[Year_made_text]])=7,MID(tblLoans[[#This Row],[Year_made_text]],5,1)="-",ISNUMBER(VALUE(MID(tblLoans[[#This Row],[Year_made_text]],1,1))),ISNUMBER(VALUE(MID(tblLoans[[#This Row],[Year_made_text]],2,1))),ISNUMBER(VALUE(MID(tblLoans[[#This Row],[Year_made_text]],3,1))),ISNUMBER(VALUE(MID(tblLoans[[#This Row],[Year_made_text]],4,1))),ISNUMBER(VALUE(MID(tblLoans[[#This Row],[Year_made_text]],6,1))),ISNUMBER(VALUE(MID(tblLoans[[#This Row],[Year_made_text]],7,1))),VALUE(RIGHT(tblLoans[[#This Row],[Year_made_text]],2))=MOD(VALUE(LEFT(tblLoans[[#This Row],[Year_made_text]],4))+1,100),VALUE(LEFT(tblLoans[[#This Row],[Year_made_text]],4))&gt;=1900,VALUE(LEFT(tblLoans[[#This Row],[Year_made_text]],4))&lt;=2100),FALSE))),AND(tblLoans[[#This Row],[Status]]="REVIEWED",AND(NOT(OR(LOWER(TRIM(tblLoans[[#This Row],[Year_tested_text]]&amp;""))={"","-","?","n/a","na","unk","unknown"})),NOT(IFERROR(AND(LEN(tblLoans[[#This Row],[Year_tested_text]])=7,MID(tblLoans[[#This Row],[Year_tested_text]],5,1)="-",ISNUMBER(VALUE(MID(tblLoans[[#This Row],[Year_tested_text]],1,1))),ISNUMBER(VALUE(MID(tblLoans[[#This Row],[Year_tested_text]],2,1))),ISNUMBER(VALUE(MID(tblLoans[[#This Row],[Year_tested_text]],3,1))),ISNUMBER(VALUE(MID(tblLoans[[#This Row],[Year_tested_text]],4,1))),ISNUMBER(VALUE(MID(tblLoans[[#This Row],[Year_tested_text]],6,1))),ISNUMBER(VALUE(MID(tblLoans[[#This Row],[Year_tested_text]],7,1))),VALUE(RIGHT(tblLoans[[#This Row],[Year_tested_text]],2))=MOD(VALUE(LEFT(tblLoans[[#This Row],[Year_tested_text]],4))+1,100),VALUE(LEFT(tblLoans[[#This Row],[Year_tested_text]],4))&gt;=1900,VALUE(LEFT(tblLoans[[#This Row],[Year_tested_text]],4))&lt;=2100),FALSE))))),"year label ","")&amp;IF(tblLoans[[#This Row],[Status]]&lt;&gt;"REVIEWED","",IF(OR(AND(NOT(OR(LOWER(TRIM(tblLoans[[#This Row],[written_agreement]]&amp;""))={"","-","?","n/a","na","unk","unknown"})),NOT(OR(LOWER(TRIM(tblLoans[[#This Row],[written_agreement]]&amp;""))={"0","1","f","false","n","no","t","true","y","yes"}))),AND(NOT(OR(LOWER(TRIM(tblLoans[[#This Row],[terms_in_place_before_lodgment_day]]&amp;""))={"","-","?","n/a","na","unk","unknown"})),NOT(OR(LOWER(TRIM(tblLoans[[#This Row],[terms_in_place_before_lodgment_day]]&amp;""))={"0","1","f","false","n","no","t","true","y","yes"}))),AND(NOT(OR(LOWER(TRIM(tblLoans[[#This Row],[secured_by_registered_mortgage_over_real_property]]&amp;""))={"","-","?","n/a","na","unk","unknown"})),NOT(OR(LOWER(TRIM(tblLoans[[#This Row],[secured_by_registered_mortgage_over_real_property]]&amp;""))={"0","1","f","false","n","no","t","true","y","yes"})))),"true/false/unknown ","")&amp;IF(OR(AND(NOT(OR(LOWER(TRIM(tblLoans[[#This Row],[maximum_term_years]]&amp;""))={"","-","?","n/a","na","unk","unknown"})),OR(NOT(ISNUMBER(tblLoans[[#This Row],[maximum_term_years]])),AND(ISNUMBER(tblLoans[[#This Row],[maximum_term_years]]),OR(tblLoans[[#This Row],[maximum_term_years]]&lt;0)))),AND(NOT(OR(LOWER(TRIM(tblLoans[[#This Row],[security_coverage_at_first_made]]&amp;""))={"","-","?","n/a","na","unk","unknown"})),OR(NOT(ISNUMBER(tblLoans[[#This Row],[security_coverage_at_first_made]])),AND(ISNUMBER(tblLoans[[#This Row],[security_coverage_at_first_made]]),OR(tblLoans[[#This Row],[security_coverage_at_first_made]]&lt;0)))),AND(NOT(OR(LOWER(TRIM(tblLoans[[#This Row],[interest_rate_for_years_after_year_loan_made]]&amp;""))={"","-","?","n/a","na","unk","unknown"})),OR(NOT(ISNUMBER(tblLoans[[#This Row],[interest_rate_for_years_after_year_loan_made]])),AND(ISNUMBER(tblLoans[[#This Row],[interest_rate_for_years_after_year_loan_made]]),OR(tblLoans[[#This Row],[interest_rate_for_years_after_year_loan_made]]&lt;0,tblLoans[[#This Row],[interest_rate_for_years_after_year_loan_made]]&gt;1)))),AND(NOT(OR(LOWER(TRIM(tblLoans[[#This Row],[amalgamated_loan_unpaid_at_end_of_previous_year]]&amp;""))={"","-","?","n/a","na","unk","unknown"})),OR(NOT(ISNUMBER(tblLoans[[#This Row],[amalgamated_loan_unpaid_at_end_of_previous_year]])),AND(ISNUMBER(tblLoans[[#This Row],[amalgamated_loan_unpaid_at_end_of_previous_year]]),OR(tblLoans[[#This Row],[amalgamated_loan_unpaid_at_end_of_previous_year]]&lt;0,ROUND(N(tblLoans[[#This Row],[amalgamated_loan_unpaid_at_end_of_previous_year]]),2)&lt;&gt;N(tblLoans[[#This Row],[amalgamated_loan_unpaid_at_end_of_previous_year]]),N(tblLoans[[#This Row],[amalgamated_loan_unpaid_at_end_of_previous_year]])&gt;1000000000000)))),AND(NOT(OR(LOWER(TRIM(tblLoans[[#This Row],[remaining_term_years]]&amp;""))={"","-","?","n/a","na","unk","unknown"})),OR(NOT(ISNUMBER(tblLoans[[#This Row],[remaining_term_years]])),AND(ISNUMBER(tblLoans[[#This Row],[remaining_term_years]]),OR(tblLoans[[#This Row],[remaining_term_years]]&lt;0)))),AND(NOT(OR(LOWER(TRIM(tblLoans[[#This Row],[payments_applied_during_the_year]]&amp;""))={"","-","?","n/a","na","unk","unknown"})),OR(NOT(ISNUMBER(tblLoans[[#This Row],[payments_applied_during_the_year]])),AND(ISNUMBER(tblLoans[[#This Row],[payments_applied_during_the_year]]),OR(tblLoans[[#This Row],[payments_applied_during_the_year]]&lt;0,ROUND(N(tblLoans[[#This Row],[payments_applied_during_the_year]]),2)&lt;&gt;N(tblLoans[[#This Row],[payments_applied_during_the_year]]),N(tblLoans[[#This Row],[payments_applied_during_the_year]])&gt;1000000000000))))),"number ",""))))</f>
        <v/>
      </c>
      <c r="AJ8" s="9">
        <f>IF(SUMPRODUCT((tblLoans[[#This Row],[loan_id]]&amp;""={"L-101","L-102","L-103","L-104","L-105","L-106","L-107","L-108"})*(tblLoans[[#This Row],[Year_made_text]]&amp;""={"2023-24","2022-23","2021-22","2024-25","2019-20","2020-21","2023-24","1996-97"}))&gt;0,1,0)</f>
        <v>1</v>
      </c>
      <c r="AK8" s="9" t="str">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Row],[year_loan_made]]&amp;"",_xlfn.UNICHAR(9),"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f>
        <v>2023-24</v>
      </c>
      <c r="AL8" s="9" t="str">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Row],[year_of_income_being_tested]]&amp;"",_xlfn.UNICHAR(9),"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f>
        <v/>
      </c>
    </row>
    <row r="9" spans="1:38" x14ac:dyDescent="0.25">
      <c r="A9" s="6" t="s">
        <v>71</v>
      </c>
      <c r="B9" s="6" t="s">
        <v>72</v>
      </c>
      <c r="C9" s="6" t="s">
        <v>73</v>
      </c>
      <c r="D9" s="7" t="s">
        <v>50</v>
      </c>
      <c r="E9" s="7" t="s">
        <v>50</v>
      </c>
      <c r="F9" s="7">
        <v>7</v>
      </c>
      <c r="G9" s="7" t="s">
        <v>51</v>
      </c>
      <c r="H9" s="7" t="s">
        <v>52</v>
      </c>
      <c r="I9" s="7">
        <v>7.0000000000000007E-2</v>
      </c>
      <c r="J9" s="8">
        <v>40000</v>
      </c>
      <c r="K9" s="7">
        <v>3</v>
      </c>
      <c r="L9" s="8">
        <v>10000</v>
      </c>
      <c r="M9" s="6"/>
      <c r="N9" s="6"/>
      <c r="O9" s="9" t="str">
        <f>IF(TRIM(tblLoans[[#This Row],[out_of_scope_reason]]&amp;"")&lt;&gt;"","SKIPPED",IF(IFERROR(VALUE(LEFT(tblLoans[[#This Row],[Year_made_text]],4))&lt;1998,FALSE),"SKIPPED","REVIEWED"))</f>
        <v>SKIPPED</v>
      </c>
      <c r="P9" s="9" t="str">
        <f>IF(OR(LOWER(TRIM(tblLoans[[#This Row],[Year_tested_text]]&amp;""))={"","-","?","n/a","na","unk","unknown"}),tblLoans[[#This Row],[Year_made_text]],tblLoans[[#This Row],[Year_tested_text]])</f>
        <v>1996-97</v>
      </c>
      <c r="Q9" s="9" t="str">
        <f>IFERROR(INDEX(tblRates[rate],MATCH(tblLoans[[#This Row],[Floor_year]],tblRates[year_of_income],0)),"")</f>
        <v/>
      </c>
      <c r="R9" s="9" t="str">
        <f>IF(OR(LOWER(TRIM(tblLoans[[#This Row],[written_agreement]]&amp;""))={"","-","?","n/a","na","unk","unknown"}),"UNKNOWN",IF(OR(LOWER(TRIM(tblLoans[[#This Row],[written_agreement]]&amp;""))={"1","t","true","y","yes"}),"PASS",IF(OR(LOWER(TRIM(tblLoans[[#This Row],[written_agreement]]&amp;""))={"0","f","false","n","no"}),"FAIL","UNKNOWN")))</f>
        <v>PASS</v>
      </c>
      <c r="S9" s="9" t="str">
        <f>IF(OR(LOWER(TRIM(tblLoans[[#This Row],[terms_in_place_before_lodgment_day]]&amp;""))={"","-","?","n/a","na","unk","unknown"}),"UNKNOWN",IF(OR(LOWER(TRIM(tblLoans[[#This Row],[terms_in_place_before_lodgment_day]]&amp;""))={"1","t","true","y","yes"}),"PASS",IF(OR(LOWER(TRIM(tblLoans[[#This Row],[terms_in_place_before_lodgment_day]]&amp;""))={"0","f","false","n","no"}),"FAIL","UNKNOWN")))</f>
        <v>PASS</v>
      </c>
      <c r="T9" s="9" t="str">
        <f>IF(NOT(ISNUMBER(tblLoans[[#This Row],[interest_rate_for_years_after_year_loan_made]])),"UNKNOWN",IF(tblLoans[[#This Row],[Floor_rate]]="","UNKNOWN",IF(tblLoans[[#This Row],[interest_rate_for_years_after_year_loan_made]]&gt;=tblLoans[[#This Row],[Floor_rate]],"PASS","FAIL")))</f>
        <v>UNKNOWN</v>
      </c>
      <c r="U9" s="9" t="str">
        <f>IF(OR(LOWER(TRIM(tblLoans[[#This Row],[secured_by_registered_mortgage_over_real_property]]&amp;""))={"","-","?","n/a","na","unk","unknown"}),"UNKNOWN",IF(OR(LOWER(TRIM(tblLoans[[#This Row],[secured_by_registered_mortgage_over_real_property]]&amp;""))={"1","t","true","y","yes"}),"PASS",IF(OR(LOWER(TRIM(tblLoans[[#This Row],[secured_by_registered_mortgage_over_real_property]]&amp;""))={"0","f","false","n","no"}),"FAIL","UNKNOWN")))</f>
        <v>FAIL</v>
      </c>
      <c r="V9" s="9">
        <f>IF(tblLoans[[#This Row],[Limb_secured]]="FAIL",7,IF(tblLoans[[#This Row],[Limb_secured]]="PASS",IF(ISNUMBER(tblLoans[[#This Row],[security_coverage_at_first_made]]),IF(tblLoans[[#This Row],[security_coverage_at_first_made]]&gt;=1.1,25,7),""),""))</f>
        <v>7</v>
      </c>
      <c r="W9" s="9" t="str">
        <f>IF(NOT(ISNUMBER(tblLoans[[#This Row],[maximum_term_years]])),"UNKNOWN",IF(tblLoans[[#This Row],[Allowed_term_raw]]="",IF(tblLoans[[#This Row],[maximum_term_years]]&lt;=7,"PASS","UNKNOWN"),IF(tblLoans[[#This Row],[maximum_term_years]]&lt;=tblLoans[[#This Row],[Allowed_term_raw]],"PASS","FAIL")))</f>
        <v>PASS</v>
      </c>
      <c r="X9" s="9" t="str">
        <f>IF(tblLoans[[#This Row],[Status]]="SKIPPED","",IF(OR(LOWER(TRIM(tblLoans[[#This Row],[Floor_year]]&amp;""))={"","-","?","n/a","na","unk","unknown"}),"UNKNOWN",IF(OR(tblLoans[[#This Row],[Limb_a_written]]="FAIL",tblLoans[[#This Row],[Limb_lodgment]]="FAIL",tblLoans[[#This Row],[Limb_b_rate]]="FAIL",tblLoans[[#This Row],[Limb_c_term]]="FAIL"),"NOT_COMPLYING",IF(OR(tblLoans[[#This Row],[Limb_a_written]]="UNKNOWN",tblLoans[[#This Row],[Limb_lodgment]]="UNKNOWN",tblLoans[[#This Row],[Limb_b_rate]]="UNKNOWN",tblLoans[[#This Row],[Limb_c_term]]="UNKNOWN"),"UNKNOWN","COMPLYING"))))</f>
        <v/>
      </c>
      <c r="Y9" s="9" t="str">
        <f>IF(OR(tblLoans[[#This Row],[Status]]="SKIPPED",OR(LOWER(TRIM(tblLoans[[#This Row],[Floor_year]]&amp;""))={"","-","?","n/a","na","unk","unknown"})),"",IF(tblLoans[[#This Row],[Allowed_term_raw]]&lt;&gt;"",tblLoans[[#This Row],[Allowed_term_raw]],IF(AND(ISNUMBER(tblLoans[[#This Row],[maximum_term_years]]),tblLoans[[#This Row],[maximum_term_years]]&lt;=7),7,"")))</f>
        <v/>
      </c>
      <c r="Z9" s="9" t="str">
        <f>IF(tblLoans[[#This Row],[Status]]="SKIPPED","",IF(ISNUMBER(tblLoans[[#This Row],[remaining_term_years]]),ROUNDUP(tblLoans[[#This Row],[remaining_term_years]],0),""))</f>
        <v/>
      </c>
      <c r="AA9" s="9" t="str">
        <f>IF(AND(ISNUMBER(tblLoans[[#This Row],[amalgamated_loan_unpaid_at_end_of_previous_year]]),ISNUMBER(Summary!$B$3),Summary!$B$3&gt;0,ISNUMBER(tblLoans[[#This Row],[Term_used]]),tblLoans[[#This Row],[Term_used]]&gt;0),ROUND(tblLoans[[#This Row],[amalgamated_loan_unpaid_at_end_of_previous_year]]*Summary!$B$3/(1-(1/(1+Summary!$B$3))^tblLoans[[#This Row],[Term_used]]),2),"")</f>
        <v/>
      </c>
      <c r="AB9" s="9" t="str">
        <f>IF(tblLoans[[#This Row],[Status]]="SKIPPED","",IF(OR(tblLoans[[#This Row],[Gate_verdict]]&lt;&gt;"COMPLYING",AND(NOT(OR(LOWER(TRIM(tblLoans[[#This Row],[Year_made_text]]&amp;""))={"","-","?","n/a","na","unk","unknown"})),tblLoans[[#This Row],[Floor_year]]&lt;&gt;tblLoans[[#This Row],[Year_made_text]]),tblLoans[[#This Row],[Year_made_text]]=Summary!$B$2,IFERROR(VALUE(LEFT(tblLoans[[#This Row],[Year_made_text]],4))&gt;Summary!$B$4,FALSE),AND(ISNUMBER(tblLoans[[#This Row],[Term_used]]),tblLoans[[#This Row],[Term_used]]&lt;=0),AND(ISNUMBER(Summary!$B$3),Summary!$B$3&lt;=0)),"REFUSED",IF(OR(OR(LOWER(TRIM(tblLoans[[#This Row],[Year_made_text]]&amp;""))={"","-","?","n/a","na","unk","unknown"}),NOT(ISNUMBER(Summary!$B$3)),NOT(ISNUMBER(tblLoans[[#This Row],[amalgamated_loan_unpaid_at_end_of_previous_year]])),NOT(ISNUMBER(tblLoans[[#This Row],[payments_applied_during_the_year]])),NOT(ISNUMBER(tblLoans[[#This Row],[Term_used]]))),"UNKNOWN",IF(tblLoans[[#This Row],[MYR_raw]]-ROUND(tblLoans[[#This Row],[payments_applied_during_the_year]],2)&lt;=0,"MYR_MET","MYR_SHORT"))))</f>
        <v/>
      </c>
      <c r="AC9" s="9" t="str">
        <f>IF(tblLoans[[#This Row],[MYR_verdict]]="REFUSED",IF(tblLoans[[#This Row],[Gate_verdict]]&lt;&gt;"COMPLYING","s 109N gate is "&amp;tblLoans[[#This Row],[Gate_verdict]]&amp;", so s 109E produces no repayment figure",IF(tblLoans[[#This Row],[Floor_year]]&lt;&gt;tblLoans[[#This Row],[Year_made_text]],"gate benchmark year differs from year_loan_made",IF(tblLoans[[#This Row],[Year_made_text]]=Summary!$B$2,"year of income is the year the loan was made (s 109E(1)(a), s 109P)",IF(IFERROR(VALUE(LEFT(tblLoans[[#This Row],[Year_made_text]],4))&gt;Summary!$B$4,FALSE),"loan made after the year of income",IF(AND(ISNUMBER(tblLoans[[#This Row],[Term_used]]),tblLoans[[#This Row],[Term_used]]&lt;=0),"nil remaining term under s 109E(6)","nil benchmark rate"))))),IF(tblLoans[[#This Row],[MYR_verdict]]="UNKNOWN",IF(OR(LOWER(TRIM(tblLoans[[#This Row],[Year_made_text]]&amp;""))={"","-","?","n/a","na","unk","unknown"}),"year_loan_made not established",IF(NOT(ISNUMBER(Summary!$B$3)),"no reviewed benchmark rate for the year of income",IF(NOT(ISNUMBER(tblLoans[[#This Row],[amalgamated_loan_unpaid_at_end_of_previous_year]])),"unpaid balance at end of previous year not established",IF(NOT(ISNUMBER(tblLoans[[#This Row],[payments_applied_during_the_year]])),"payments applied not established","remaining term not established")))),""))</f>
        <v/>
      </c>
      <c r="AD9" s="10" t="str">
        <f>IF(OR(tblLoans[[#This Row],[MYR_verdict]]="MYR_MET",tblLoans[[#This Row],[MYR_verdict]]="MYR_SHORT"),tblLoans[[#This Row],[MYR_raw]],"")</f>
        <v/>
      </c>
      <c r="AE9" s="10" t="str">
        <f>IF(OR(tblLoans[[#This Row],[MYR_verdict]]="MYR_MET",tblLoans[[#This Row],[MYR_verdict]]="MYR_SHORT"),MAX(0,ROUND(tblLoans[[#This Row],[MYR_raw]]-ROUND(tblLoans[[#This Row],[payments_applied_during_the_year]],2),2)),"")</f>
        <v/>
      </c>
      <c r="AF9" s="10" t="str">
        <f>IF(tblLoans[[#This Row],[MYR_verdict]]="MYR_SHORT",tblLoans[[#This Row],[Shortfall]],"")</f>
        <v/>
      </c>
      <c r="AG9" s="9">
        <f>IF(AND(tblLoans[[#This Row],[Status]]="REVIEWED",OR(tblLoans[[#This Row],[Gate_verdict]]="UNKNOWN",tblLoans[[#This Row],[MYR_verdict]]="UNKNOWN")),1,0)</f>
        <v>0</v>
      </c>
      <c r="AH9" s="9">
        <f>IF(OR(_xlfn.ISFORMULA(tblLoans[[#This Row],[loan_id]]),_xlfn.ISFORMULA(tblLoans[[#This Row],[borrower_reference]]),_xlfn.ISFORMULA(tblLoans[[#This Row],[year_loan_made]]),_xlfn.ISFORMULA(tblLoans[[#This Row],[written_agreement]]),_xlfn.ISFORMULA(tblLoans[[#This Row],[terms_in_place_before_lodgment_day]]),_xlfn.ISFORMULA(tblLoans[[#This Row],[maximum_term_years]]),_xlfn.ISFORMULA(tblLoans[[#This Row],[secured_by_registered_mortgage_over_real_property]]),_xlfn.ISFORMULA(tblLoans[[#This Row],[security_coverage_at_first_made]]),_xlfn.ISFORMULA(tblLoans[[#This Row],[interest_rate_for_years_after_year_loan_made]]),_xlfn.ISFORMULA(tblLoans[[#This Row],[amalgamated_loan_unpaid_at_end_of_previous_year]]),_xlfn.ISFORMULA(tblLoans[[#This Row],[remaining_term_years]]),_xlfn.ISFORMULA(tblLoans[[#This Row],[payments_applied_during_the_year]]),_xlfn.ISFORMULA(tblLoans[[#This Row],[out_of_scope_reason]]),_xlfn.ISFORMULA(tblLoans[[#This Row],[year_of_income_being_tested]])),1,0)</f>
        <v>0</v>
      </c>
      <c r="AI9" s="9" t="str">
        <f>IF(TRIM(tblLoans[[#This Row],[out_of_scope_reason]]&amp;"")&lt;&gt;"","",TRIM(IF(OR(AND(NOT(OR(LOWER(TRIM(tblLoans[[#This Row],[Year_made_text]]&amp;""))={"","-","?","n/a","na","unk","unknown"})),NOT(IFERROR(AND(LEN(tblLoans[[#This Row],[Year_made_text]])=7,MID(tblLoans[[#This Row],[Year_made_text]],5,1)="-",ISNUMBER(VALUE(MID(tblLoans[[#This Row],[Year_made_text]],1,1))),ISNUMBER(VALUE(MID(tblLoans[[#This Row],[Year_made_text]],2,1))),ISNUMBER(VALUE(MID(tblLoans[[#This Row],[Year_made_text]],3,1))),ISNUMBER(VALUE(MID(tblLoans[[#This Row],[Year_made_text]],4,1))),ISNUMBER(VALUE(MID(tblLoans[[#This Row],[Year_made_text]],6,1))),ISNUMBER(VALUE(MID(tblLoans[[#This Row],[Year_made_text]],7,1))),VALUE(RIGHT(tblLoans[[#This Row],[Year_made_text]],2))=MOD(VALUE(LEFT(tblLoans[[#This Row],[Year_made_text]],4))+1,100),VALUE(LEFT(tblLoans[[#This Row],[Year_made_text]],4))&gt;=1900,VALUE(LEFT(tblLoans[[#This Row],[Year_made_text]],4))&lt;=2100),FALSE))),AND(tblLoans[[#This Row],[Status]]="REVIEWED",AND(NOT(OR(LOWER(TRIM(tblLoans[[#This Row],[Year_tested_text]]&amp;""))={"","-","?","n/a","na","unk","unknown"})),NOT(IFERROR(AND(LEN(tblLoans[[#This Row],[Year_tested_text]])=7,MID(tblLoans[[#This Row],[Year_tested_text]],5,1)="-",ISNUMBER(VALUE(MID(tblLoans[[#This Row],[Year_tested_text]],1,1))),ISNUMBER(VALUE(MID(tblLoans[[#This Row],[Year_tested_text]],2,1))),ISNUMBER(VALUE(MID(tblLoans[[#This Row],[Year_tested_text]],3,1))),ISNUMBER(VALUE(MID(tblLoans[[#This Row],[Year_tested_text]],4,1))),ISNUMBER(VALUE(MID(tblLoans[[#This Row],[Year_tested_text]],6,1))),ISNUMBER(VALUE(MID(tblLoans[[#This Row],[Year_tested_text]],7,1))),VALUE(RIGHT(tblLoans[[#This Row],[Year_tested_text]],2))=MOD(VALUE(LEFT(tblLoans[[#This Row],[Year_tested_text]],4))+1,100),VALUE(LEFT(tblLoans[[#This Row],[Year_tested_text]],4))&gt;=1900,VALUE(LEFT(tblLoans[[#This Row],[Year_tested_text]],4))&lt;=2100),FALSE))))),"year label ","")&amp;IF(tblLoans[[#This Row],[Status]]&lt;&gt;"REVIEWED","",IF(OR(AND(NOT(OR(LOWER(TRIM(tblLoans[[#This Row],[written_agreement]]&amp;""))={"","-","?","n/a","na","unk","unknown"})),NOT(OR(LOWER(TRIM(tblLoans[[#This Row],[written_agreement]]&amp;""))={"0","1","f","false","n","no","t","true","y","yes"}))),AND(NOT(OR(LOWER(TRIM(tblLoans[[#This Row],[terms_in_place_before_lodgment_day]]&amp;""))={"","-","?","n/a","na","unk","unknown"})),NOT(OR(LOWER(TRIM(tblLoans[[#This Row],[terms_in_place_before_lodgment_day]]&amp;""))={"0","1","f","false","n","no","t","true","y","yes"}))),AND(NOT(OR(LOWER(TRIM(tblLoans[[#This Row],[secured_by_registered_mortgage_over_real_property]]&amp;""))={"","-","?","n/a","na","unk","unknown"})),NOT(OR(LOWER(TRIM(tblLoans[[#This Row],[secured_by_registered_mortgage_over_real_property]]&amp;""))={"0","1","f","false","n","no","t","true","y","yes"})))),"true/false/unknown ","")&amp;IF(OR(AND(NOT(OR(LOWER(TRIM(tblLoans[[#This Row],[maximum_term_years]]&amp;""))={"","-","?","n/a","na","unk","unknown"})),OR(NOT(ISNUMBER(tblLoans[[#This Row],[maximum_term_years]])),AND(ISNUMBER(tblLoans[[#This Row],[maximum_term_years]]),OR(tblLoans[[#This Row],[maximum_term_years]]&lt;0)))),AND(NOT(OR(LOWER(TRIM(tblLoans[[#This Row],[security_coverage_at_first_made]]&amp;""))={"","-","?","n/a","na","unk","unknown"})),OR(NOT(ISNUMBER(tblLoans[[#This Row],[security_coverage_at_first_made]])),AND(ISNUMBER(tblLoans[[#This Row],[security_coverage_at_first_made]]),OR(tblLoans[[#This Row],[security_coverage_at_first_made]]&lt;0)))),AND(NOT(OR(LOWER(TRIM(tblLoans[[#This Row],[interest_rate_for_years_after_year_loan_made]]&amp;""))={"","-","?","n/a","na","unk","unknown"})),OR(NOT(ISNUMBER(tblLoans[[#This Row],[interest_rate_for_years_after_year_loan_made]])),AND(ISNUMBER(tblLoans[[#This Row],[interest_rate_for_years_after_year_loan_made]]),OR(tblLoans[[#This Row],[interest_rate_for_years_after_year_loan_made]]&lt;0,tblLoans[[#This Row],[interest_rate_for_years_after_year_loan_made]]&gt;1)))),AND(NOT(OR(LOWER(TRIM(tblLoans[[#This Row],[amalgamated_loan_unpaid_at_end_of_previous_year]]&amp;""))={"","-","?","n/a","na","unk","unknown"})),OR(NOT(ISNUMBER(tblLoans[[#This Row],[amalgamated_loan_unpaid_at_end_of_previous_year]])),AND(ISNUMBER(tblLoans[[#This Row],[amalgamated_loan_unpaid_at_end_of_previous_year]]),OR(tblLoans[[#This Row],[amalgamated_loan_unpaid_at_end_of_previous_year]]&lt;0,ROUND(N(tblLoans[[#This Row],[amalgamated_loan_unpaid_at_end_of_previous_year]]),2)&lt;&gt;N(tblLoans[[#This Row],[amalgamated_loan_unpaid_at_end_of_previous_year]]),N(tblLoans[[#This Row],[amalgamated_loan_unpaid_at_end_of_previous_year]])&gt;1000000000000)))),AND(NOT(OR(LOWER(TRIM(tblLoans[[#This Row],[remaining_term_years]]&amp;""))={"","-","?","n/a","na","unk","unknown"})),OR(NOT(ISNUMBER(tblLoans[[#This Row],[remaining_term_years]])),AND(ISNUMBER(tblLoans[[#This Row],[remaining_term_years]]),OR(tblLoans[[#This Row],[remaining_term_years]]&lt;0)))),AND(NOT(OR(LOWER(TRIM(tblLoans[[#This Row],[payments_applied_during_the_year]]&amp;""))={"","-","?","n/a","na","unk","unknown"})),OR(NOT(ISNUMBER(tblLoans[[#This Row],[payments_applied_during_the_year]])),AND(ISNUMBER(tblLoans[[#This Row],[payments_applied_during_the_year]]),OR(tblLoans[[#This Row],[payments_applied_during_the_year]]&lt;0,ROUND(N(tblLoans[[#This Row],[payments_applied_during_the_year]]),2)&lt;&gt;N(tblLoans[[#This Row],[payments_applied_during_the_year]]),N(tblLoans[[#This Row],[payments_applied_during_the_year]])&gt;1000000000000))))),"number ",""))))</f>
        <v/>
      </c>
      <c r="AJ9" s="9">
        <f>IF(SUMPRODUCT((tblLoans[[#This Row],[loan_id]]&amp;""={"L-101","L-102","L-103","L-104","L-105","L-106","L-107","L-108"})*(tblLoans[[#This Row],[Year_made_text]]&amp;""={"2023-24","2022-23","2021-22","2024-25","2019-20","2020-21","2023-24","1996-97"}))&gt;0,1,0)</f>
        <v>1</v>
      </c>
      <c r="AK9" s="9" t="str">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Row],[year_loan_made]]&amp;"",_xlfn.UNICHAR(9),"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f>
        <v>1996-97</v>
      </c>
      <c r="AL9" s="9" t="str">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tblLoans[[#This Row],[year_of_income_being_tested]]&amp;"",_xlfn.UNICHAR(9)," "),_xlfn.UNICHAR(10)," "),_xlfn.UNICHAR(11)," "),_xlfn.UNICHAR(12)," "),_xlfn.UNICHAR(13)," "),_xlfn.UNICHAR(28)," "),_xlfn.UNICHAR(29)," "),_xlfn.UNICHAR(30)," "),_xlfn.UNICHAR(31)," "),_xlfn.UNICHAR(133)," "),_xlfn.UNICHAR(160)," "),_xlfn.UNICHAR(5760)," "),_xlfn.UNICHAR(8192)," "),_xlfn.UNICHAR(8193)," "),_xlfn.UNICHAR(8194)," "),_xlfn.UNICHAR(8195)," "),_xlfn.UNICHAR(8196)," "),_xlfn.UNICHAR(8197)," "),_xlfn.UNICHAR(8198)," "),_xlfn.UNICHAR(8199)," "),_xlfn.UNICHAR(8200)," "),_xlfn.UNICHAR(8201)," "),_xlfn.UNICHAR(8202)," "),_xlfn.UNICHAR(8232)," "),_xlfn.UNICHAR(8233)," "),_xlfn.UNICHAR(8239)," "),_xlfn.UNICHAR(8287)," "),_xlfn.UNICHAR(12288)," "))</f>
        <v/>
      </c>
    </row>
  </sheetData>
  <dataValidations count="1">
    <dataValidation type="list" allowBlank="1" sqref="G2:G509 D2:E509" xr:uid="{00000000-0002-0000-0100-000000000000}">
      <formula1>"true,false,unknown"</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workbookViewId="0"/>
  </sheetViews>
  <sheetFormatPr defaultRowHeight="15" x14ac:dyDescent="0.25"/>
  <cols>
    <col min="6" max="6" width="90" customWidth="1"/>
  </cols>
  <sheetData>
    <row r="1" spans="1:7" x14ac:dyDescent="0.25">
      <c r="A1" s="5" t="s">
        <v>74</v>
      </c>
      <c r="B1" s="5" t="s">
        <v>75</v>
      </c>
      <c r="C1" s="5" t="s">
        <v>76</v>
      </c>
      <c r="D1" s="5" t="s">
        <v>77</v>
      </c>
      <c r="E1" s="5" t="s">
        <v>78</v>
      </c>
      <c r="F1" s="5" t="s">
        <v>79</v>
      </c>
      <c r="G1" s="5" t="s">
        <v>80</v>
      </c>
    </row>
    <row r="2" spans="1:7" x14ac:dyDescent="0.25">
      <c r="A2" s="6" t="s">
        <v>64</v>
      </c>
      <c r="B2" s="7">
        <v>5.3699999999999998E-2</v>
      </c>
      <c r="C2" s="7" t="s">
        <v>81</v>
      </c>
      <c r="D2" s="7" t="s">
        <v>82</v>
      </c>
      <c r="E2" s="7" t="s">
        <v>83</v>
      </c>
      <c r="F2" s="7" t="s">
        <v>84</v>
      </c>
      <c r="G2" s="7" t="s">
        <v>85</v>
      </c>
    </row>
    <row r="3" spans="1:7" x14ac:dyDescent="0.25">
      <c r="A3" s="6" t="s">
        <v>67</v>
      </c>
      <c r="B3" s="7">
        <v>4.5199999999999997E-2</v>
      </c>
      <c r="C3" s="7" t="s">
        <v>81</v>
      </c>
      <c r="D3" s="7" t="s">
        <v>82</v>
      </c>
      <c r="E3" s="7" t="s">
        <v>86</v>
      </c>
      <c r="F3" s="7" t="s">
        <v>87</v>
      </c>
      <c r="G3" s="7" t="s">
        <v>85</v>
      </c>
    </row>
    <row r="4" spans="1:7" x14ac:dyDescent="0.25">
      <c r="A4" s="6" t="s">
        <v>58</v>
      </c>
      <c r="B4" s="7">
        <v>4.5199999999999997E-2</v>
      </c>
      <c r="C4" s="7" t="s">
        <v>81</v>
      </c>
      <c r="D4" s="7" t="s">
        <v>82</v>
      </c>
      <c r="E4" s="7" t="s">
        <v>88</v>
      </c>
      <c r="F4" s="7" t="s">
        <v>89</v>
      </c>
      <c r="G4" s="7" t="s">
        <v>85</v>
      </c>
    </row>
    <row r="5" spans="1:7" x14ac:dyDescent="0.25">
      <c r="A5" s="6" t="s">
        <v>55</v>
      </c>
      <c r="B5" s="7">
        <v>4.7699999999999999E-2</v>
      </c>
      <c r="C5" s="7" t="s">
        <v>81</v>
      </c>
      <c r="D5" s="7" t="s">
        <v>82</v>
      </c>
      <c r="E5" s="7" t="s">
        <v>90</v>
      </c>
      <c r="F5" s="7" t="s">
        <v>91</v>
      </c>
      <c r="G5" s="7" t="s">
        <v>85</v>
      </c>
    </row>
    <row r="6" spans="1:7" x14ac:dyDescent="0.25">
      <c r="A6" s="6" t="s">
        <v>49</v>
      </c>
      <c r="B6" s="7">
        <v>8.2699999999999996E-2</v>
      </c>
      <c r="C6" s="7" t="s">
        <v>81</v>
      </c>
      <c r="D6" s="7" t="s">
        <v>82</v>
      </c>
      <c r="E6" s="7" t="s">
        <v>92</v>
      </c>
      <c r="F6" s="7" t="s">
        <v>93</v>
      </c>
      <c r="G6" s="7" t="s">
        <v>85</v>
      </c>
    </row>
    <row r="7" spans="1:7" x14ac:dyDescent="0.25">
      <c r="A7" s="6" t="s">
        <v>61</v>
      </c>
      <c r="B7" s="7">
        <v>8.77E-2</v>
      </c>
      <c r="C7" s="7" t="s">
        <v>81</v>
      </c>
      <c r="D7" s="7" t="s">
        <v>82</v>
      </c>
      <c r="E7" s="7" t="s">
        <v>94</v>
      </c>
      <c r="F7" s="7" t="s">
        <v>95</v>
      </c>
      <c r="G7" s="7" t="s">
        <v>85</v>
      </c>
    </row>
    <row r="8" spans="1:7" x14ac:dyDescent="0.25">
      <c r="A8" s="6" t="s">
        <v>96</v>
      </c>
      <c r="B8" s="7">
        <v>8.3699999999999997E-2</v>
      </c>
      <c r="C8" s="7" t="s">
        <v>81</v>
      </c>
      <c r="D8" s="7" t="s">
        <v>82</v>
      </c>
      <c r="E8" s="7" t="s">
        <v>97</v>
      </c>
      <c r="F8" s="7" t="s">
        <v>98</v>
      </c>
      <c r="G8" s="7" t="s">
        <v>85</v>
      </c>
    </row>
    <row r="9" spans="1:7" x14ac:dyDescent="0.25">
      <c r="A9" s="6" t="s">
        <v>99</v>
      </c>
      <c r="B9" s="7">
        <v>8.77E-2</v>
      </c>
      <c r="C9" s="7" t="s">
        <v>81</v>
      </c>
      <c r="D9" s="7" t="s">
        <v>82</v>
      </c>
      <c r="E9" s="7" t="s">
        <v>100</v>
      </c>
      <c r="F9" s="7" t="s">
        <v>101</v>
      </c>
      <c r="G9" s="7" t="s">
        <v>85</v>
      </c>
    </row>
    <row r="12" spans="1:7" x14ac:dyDescent="0.25">
      <c r="A12" t="s">
        <v>102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7"/>
  <sheetViews>
    <sheetView workbookViewId="0"/>
  </sheetViews>
  <sheetFormatPr defaultRowHeight="15" x14ac:dyDescent="0.25"/>
  <cols>
    <col min="1" max="1" width="52" customWidth="1"/>
    <col min="2" max="2" width="18" customWidth="1"/>
  </cols>
  <sheetData>
    <row r="1" spans="1:2" x14ac:dyDescent="0.25">
      <c r="A1" s="5" t="s">
        <v>103</v>
      </c>
      <c r="B1" s="5"/>
    </row>
    <row r="2" spans="1:2" x14ac:dyDescent="0.25">
      <c r="A2" t="s">
        <v>104</v>
      </c>
      <c r="B2" s="11" t="s">
        <v>99</v>
      </c>
    </row>
    <row r="3" spans="1:2" x14ac:dyDescent="0.25">
      <c r="A3" t="s">
        <v>105</v>
      </c>
      <c r="B3" s="12">
        <f>IFERROR(INDEX(tblRates[rate],MATCH(B2,tblRates[year_of_income],0)),"")</f>
        <v>8.77E-2</v>
      </c>
    </row>
    <row r="4" spans="1:2" x14ac:dyDescent="0.25">
      <c r="A4" t="s">
        <v>106</v>
      </c>
      <c r="B4" s="9">
        <f>IFERROR(VALUE(LEFT(B2,4)),"")</f>
        <v>2026</v>
      </c>
    </row>
    <row r="6" spans="1:2" x14ac:dyDescent="0.25">
      <c r="A6" s="5" t="s">
        <v>107</v>
      </c>
      <c r="B6" s="5"/>
    </row>
    <row r="7" spans="1:2" x14ac:dyDescent="0.25">
      <c r="A7" t="s">
        <v>108</v>
      </c>
      <c r="B7" s="9">
        <f>COUNTIF(tblLoans[Status],"REVIEWED")</f>
        <v>6</v>
      </c>
    </row>
    <row r="8" spans="1:2" x14ac:dyDescent="0.25">
      <c r="A8" t="s">
        <v>109</v>
      </c>
      <c r="B8" s="9">
        <f>COUNTIF(tblLoans[Gate_verdict],"COMPLYING")</f>
        <v>3</v>
      </c>
    </row>
    <row r="9" spans="1:2" x14ac:dyDescent="0.25">
      <c r="A9" t="s">
        <v>110</v>
      </c>
      <c r="B9" s="9">
        <f>COUNTIF(tblLoans[Gate_verdict],"NOT_COMPLYING")</f>
        <v>2</v>
      </c>
    </row>
    <row r="10" spans="1:2" x14ac:dyDescent="0.25">
      <c r="A10" t="s">
        <v>111</v>
      </c>
      <c r="B10" s="9">
        <f>COUNTIF(tblLoans[MYR_verdict],"MYR_MET")</f>
        <v>0</v>
      </c>
    </row>
    <row r="11" spans="1:2" x14ac:dyDescent="0.25">
      <c r="A11" t="s">
        <v>112</v>
      </c>
      <c r="B11" s="9">
        <f>COUNTIF(tblLoans[MYR_verdict],"MYR_SHORT")</f>
        <v>1</v>
      </c>
    </row>
    <row r="12" spans="1:2" x14ac:dyDescent="0.25">
      <c r="A12" t="s">
        <v>113</v>
      </c>
      <c r="B12" s="9">
        <f>SUM(tblLoans[Undecided])</f>
        <v>2</v>
      </c>
    </row>
    <row r="13" spans="1:2" x14ac:dyDescent="0.25">
      <c r="A13" t="s">
        <v>114</v>
      </c>
      <c r="B13" s="9">
        <f>COUNTIF(tblLoans[MYR_verdict],"REFUSED")</f>
        <v>4</v>
      </c>
    </row>
    <row r="14" spans="1:2" x14ac:dyDescent="0.25">
      <c r="A14" t="s">
        <v>115</v>
      </c>
      <c r="B14" s="9">
        <f>COUNTIF(tblLoans[Status],"SKIPPED")</f>
        <v>2</v>
      </c>
    </row>
    <row r="15" spans="1:2" x14ac:dyDescent="0.25">
      <c r="A15" t="s">
        <v>116</v>
      </c>
      <c r="B15" s="10">
        <f>SUM(tblLoans[Exposure])</f>
        <v>2212.37</v>
      </c>
    </row>
    <row r="17" spans="1:2" x14ac:dyDescent="0.25">
      <c r="A17" t="s">
        <v>7</v>
      </c>
      <c r="B17" s="13" t="str">
        <f>'Review Checks'!B10</f>
        <v>REVIEW</v>
      </c>
    </row>
  </sheetData>
  <sheetProtection sheet="1"/>
  <conditionalFormatting sqref="B17">
    <cfRule type="cellIs" dxfId="5" priority="1" operator="equal">
      <formula>"BLOCKED"</formula>
    </cfRule>
    <cfRule type="cellIs" dxfId="4" priority="2" operator="equal">
      <formula>"REVIEW"</formula>
    </cfRule>
    <cfRule type="cellIs" dxfId="3" priority="3" operator="equal">
      <formula>"PASS"</formula>
    </cfRule>
  </conditionalFormatting>
  <dataValidations count="1">
    <dataValidation type="list" sqref="B2" xr:uid="{00000000-0002-0000-0300-000000000000}">
      <formula1>RateYears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workbookViewId="0"/>
  </sheetViews>
  <sheetFormatPr defaultRowHeight="15" x14ac:dyDescent="0.25"/>
  <cols>
    <col min="1" max="1" width="100" customWidth="1"/>
    <col min="2" max="2" width="12" customWidth="1"/>
    <col min="3" max="4" width="16" customWidth="1"/>
  </cols>
  <sheetData>
    <row r="1" spans="1:4" x14ac:dyDescent="0.25">
      <c r="A1" s="5" t="s">
        <v>117</v>
      </c>
      <c r="B1" s="5" t="s">
        <v>118</v>
      </c>
      <c r="C1" s="5" t="s">
        <v>119</v>
      </c>
      <c r="D1" s="5" t="s">
        <v>120</v>
      </c>
    </row>
    <row r="2" spans="1:4" x14ac:dyDescent="0.25">
      <c r="A2" t="s">
        <v>121</v>
      </c>
      <c r="B2" s="9" t="str">
        <f>IF(C2=0,"PASS","BLOCKED")</f>
        <v>PASS</v>
      </c>
      <c r="C2" s="9">
        <f>SUMPRODUCT(--(tblLoans[Input_problem]&lt;&gt;""))</f>
        <v>0</v>
      </c>
      <c r="D2" s="9" t="str">
        <f t="array" ref="D2">IF(C2=0,"",INDEX(tblLoans[loan_id],SUMPRODUCT(MAX((tblLoans[Input_problem]&lt;&gt;"")*(ROW(tblLoans[loan_id])-1)))))</f>
        <v/>
      </c>
    </row>
    <row r="3" spans="1:4" x14ac:dyDescent="0.25">
      <c r="A3" t="s">
        <v>122</v>
      </c>
      <c r="B3" s="9" t="str">
        <f>IF(C3=0,"PASS","BLOCKED")</f>
        <v>PASS</v>
      </c>
      <c r="C3" s="9">
        <f>SUM(tblLoans[Guard])</f>
        <v>0</v>
      </c>
      <c r="D3" s="9" t="str">
        <f t="array" ref="D3">IF(C3=0,"",INDEX(tblLoans[loan_id],SUMPRODUCT(MAX((tblLoans[Guard]=1)*(ROW(tblLoans[loan_id])-1)))))</f>
        <v/>
      </c>
    </row>
    <row r="4" spans="1:4" x14ac:dyDescent="0.25">
      <c r="A4" t="s">
        <v>123</v>
      </c>
      <c r="B4" s="9" t="str">
        <f>IFERROR(IF(AND(ISNUMBER(Summary!B3),COUNT(tblRates[rate])=ROWS(tblRates[rate]),SUMPRODUCT(--(COUNTIF(tblRates[year_of_income],tblRates[year_of_income])&lt;&gt;1))=0,MIN(tblRates[rate])&gt;=0,MAX(tblRates[rate])&lt;=1),"PASS","BLOCKED"),"BLOCKED")</f>
        <v>PASS</v>
      </c>
      <c r="C4" s="9" t="str">
        <f>Summary!B2</f>
        <v>2026-27</v>
      </c>
      <c r="D4" s="9"/>
    </row>
    <row r="5" spans="1:4" x14ac:dyDescent="0.25">
      <c r="A5" t="s">
        <v>124</v>
      </c>
      <c r="B5" s="9" t="str">
        <f>IF(C5=0,"PASS","REVIEW")</f>
        <v>REVIEW</v>
      </c>
      <c r="C5" s="9">
        <f>COUNTIF(tblLoans[Gate_verdict],"NOT_COMPLYING")</f>
        <v>2</v>
      </c>
      <c r="D5" s="9" t="str">
        <f t="array" ref="D5">IF(C5=0,"",INDEX(tblLoans[loan_id],SUMPRODUCT(MAX((tblLoans[Gate_verdict]="NOT_COMPLYING")*(ROW(tblLoans[loan_id])-1)))))</f>
        <v>L-106</v>
      </c>
    </row>
    <row r="6" spans="1:4" x14ac:dyDescent="0.25">
      <c r="A6" t="s">
        <v>125</v>
      </c>
      <c r="B6" s="9" t="str">
        <f>IF(C6=0,"PASS","REVIEW")</f>
        <v>REVIEW</v>
      </c>
      <c r="C6" s="9">
        <f>COUNTIF(tblLoans[MYR_verdict],"MYR_SHORT")</f>
        <v>1</v>
      </c>
      <c r="D6" s="9" t="str">
        <f t="array" ref="D6">IF(C6=0,"",INDEX(tblLoans[loan_id],SUMPRODUCT(MAX((tblLoans[MYR_verdict]="MYR_SHORT")*(ROW(tblLoans[loan_id])-1)))))</f>
        <v>L-101</v>
      </c>
    </row>
    <row r="7" spans="1:4" x14ac:dyDescent="0.25">
      <c r="A7" t="s">
        <v>126</v>
      </c>
      <c r="B7" s="9" t="str">
        <f>IF(C7=0,"PASS","REVIEW")</f>
        <v>REVIEW</v>
      </c>
      <c r="C7" s="9">
        <f>SUM(tblLoans[Undecided])</f>
        <v>2</v>
      </c>
      <c r="D7" s="9" t="str">
        <f t="array" ref="D7">IF(C7=0,"",INDEX(tblLoans[loan_id],SUMPRODUCT(MAX((tblLoans[Undecided]=1)*(ROW(tblLoans[loan_id])-1)))))</f>
        <v>L-104</v>
      </c>
    </row>
    <row r="8" spans="1:4" x14ac:dyDescent="0.25">
      <c r="A8" t="s">
        <v>127</v>
      </c>
      <c r="B8" s="9" t="str">
        <f>IF(C8=0,"PASS","REVIEW")</f>
        <v>REVIEW</v>
      </c>
      <c r="C8" s="9">
        <f>COUNTIF(tblLoans[MYR_verdict],"REFUSED")</f>
        <v>4</v>
      </c>
      <c r="D8" s="9" t="str">
        <f t="array" ref="D8">IF(C8=0,"",INDEX(tblLoans[loan_id],SUMPRODUCT(MAX((tblLoans[MYR_verdict]="REFUSED")*(ROW(tblLoans[loan_id])-1)))))</f>
        <v>L-106</v>
      </c>
    </row>
    <row r="9" spans="1:4" x14ac:dyDescent="0.25">
      <c r="A9" t="s">
        <v>128</v>
      </c>
      <c r="B9" s="9" t="str">
        <f>IF(C9=0,"PASS","REVIEW")</f>
        <v>REVIEW</v>
      </c>
      <c r="C9" s="9">
        <f>SUM(tblLoans[Sample_row])</f>
        <v>8</v>
      </c>
      <c r="D9" s="9" t="str">
        <f t="array" ref="D9">IF(C9=0,"",INDEX(tblLoans[loan_id],SUMPRODUCT(MAX((tblLoans[Sample_row]=1)*(ROW(tblLoans[loan_id])-1)))))</f>
        <v>L-108</v>
      </c>
    </row>
    <row r="10" spans="1:4" x14ac:dyDescent="0.25">
      <c r="A10" s="3" t="s">
        <v>7</v>
      </c>
      <c r="B10" s="13" t="str">
        <f>IF(COUNTIF(B2:B9,"BLOCKED")&gt;0,"BLOCKED",IF(COUNTIF(B2:B9,"REVIEW")&gt;0,"REVIEW","PASS"))</f>
        <v>REVIEW</v>
      </c>
    </row>
    <row r="12" spans="1:4" x14ac:dyDescent="0.25">
      <c r="A12" s="5" t="s">
        <v>129</v>
      </c>
    </row>
    <row r="13" spans="1:4" ht="135" customHeight="1" x14ac:dyDescent="0.25">
      <c r="A13" s="14" t="s">
        <v>130</v>
      </c>
    </row>
    <row r="14" spans="1:4" ht="30" x14ac:dyDescent="0.25">
      <c r="A14" s="14" t="s">
        <v>131</v>
      </c>
    </row>
    <row r="15" spans="1:4" ht="45" x14ac:dyDescent="0.25">
      <c r="A15" s="14" t="s">
        <v>132</v>
      </c>
    </row>
    <row r="16" spans="1:4" ht="45" x14ac:dyDescent="0.25">
      <c r="A16" s="14" t="s">
        <v>133</v>
      </c>
    </row>
    <row r="17" spans="1:1" ht="30" x14ac:dyDescent="0.25">
      <c r="A17" s="14" t="s">
        <v>134</v>
      </c>
    </row>
  </sheetData>
  <sheetProtection sheet="1"/>
  <conditionalFormatting sqref="B2:B10">
    <cfRule type="cellIs" dxfId="2" priority="1" operator="equal">
      <formula>"BLOCKED"</formula>
    </cfRule>
    <cfRule type="cellIs" dxfId="1" priority="2" operator="equal">
      <formula>"REVIEW"</formula>
    </cfRule>
    <cfRule type="cellIs" dxfId="0" priority="3" operator="equal">
      <formula>"PASS"</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sheetViews>
  <sheetFormatPr defaultRowHeight="15" x14ac:dyDescent="0.25"/>
  <cols>
    <col min="1" max="1" width="52" customWidth="1"/>
    <col min="2" max="2" width="110" customWidth="1"/>
  </cols>
  <sheetData>
    <row r="1" spans="1:2" x14ac:dyDescent="0.25">
      <c r="A1" s="5" t="s">
        <v>135</v>
      </c>
      <c r="B1" s="5" t="s">
        <v>136</v>
      </c>
    </row>
    <row r="2" spans="1:2" x14ac:dyDescent="0.25">
      <c r="A2" t="s">
        <v>137</v>
      </c>
      <c r="B2" t="s">
        <v>138</v>
      </c>
    </row>
    <row r="3" spans="1:2" x14ac:dyDescent="0.25">
      <c r="A3" t="s">
        <v>139</v>
      </c>
      <c r="B3" t="s">
        <v>152</v>
      </c>
    </row>
    <row r="4" spans="1:2" x14ac:dyDescent="0.25">
      <c r="A4" t="s">
        <v>140</v>
      </c>
      <c r="B4" t="s">
        <v>141</v>
      </c>
    </row>
    <row r="5" spans="1:2" x14ac:dyDescent="0.25">
      <c r="A5" t="s">
        <v>142</v>
      </c>
      <c r="B5" t="s">
        <v>143</v>
      </c>
    </row>
    <row r="6" spans="1:2" x14ac:dyDescent="0.25">
      <c r="A6" t="s">
        <v>144</v>
      </c>
      <c r="B6" t="s">
        <v>145</v>
      </c>
    </row>
    <row r="7" spans="1:2" x14ac:dyDescent="0.25">
      <c r="A7" t="s">
        <v>146</v>
      </c>
      <c r="B7" t="s">
        <v>99</v>
      </c>
    </row>
    <row r="8" spans="1:2" x14ac:dyDescent="0.25">
      <c r="A8" t="s">
        <v>147</v>
      </c>
      <c r="B8" t="s">
        <v>85</v>
      </c>
    </row>
    <row r="9" spans="1:2" x14ac:dyDescent="0.25">
      <c r="A9" t="s">
        <v>148</v>
      </c>
      <c r="B9" t="s">
        <v>149</v>
      </c>
    </row>
    <row r="10" spans="1:2" x14ac:dyDescent="0.25">
      <c r="A10" t="s">
        <v>150</v>
      </c>
      <c r="B10" t="s">
        <v>151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Start Here</vt:lpstr>
      <vt:lpstr>Register</vt:lpstr>
      <vt:lpstr>Rates</vt:lpstr>
      <vt:lpstr>Summary</vt:lpstr>
      <vt:lpstr>Review Checks</vt:lpstr>
      <vt:lpstr>Sources &amp; Version</vt:lpstr>
      <vt:lpstr>RateYears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Ryan Duguid</cp:lastModifiedBy>
  <dcterms:created xsi:type="dcterms:W3CDTF">2026-10-19T13:21:31Z</dcterms:created>
  <dcterms:modified xsi:type="dcterms:W3CDTF">2026-10-19T13:21:49Z</dcterms:modified>
</cp:coreProperties>
</file>