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Register" sheetId="2" state="visible" r:id="rId2"/>
    <sheet name="Rates" sheetId="3" state="visible" r:id="rId3"/>
    <sheet name="Summary" sheetId="4" state="visible" r:id="rId4"/>
    <sheet name="Review Checks" sheetId="5" state="visible" r:id="rId5"/>
    <sheet name="Sources &amp; Version" sheetId="6" state="visible" r:id="rId6"/>
  </sheets>
  <definedNames>
    <definedName name="RateYears">tblRates[year_of_income]</definedName>
  </definedNames>
  <calcPr calcId="124519" fullCalcOnLoad="1"/>
</workbook>
</file>

<file path=xl/styles.xml><?xml version="1.0" encoding="utf-8"?>
<styleSheet xmlns="http://schemas.openxmlformats.org/spreadsheetml/2006/main">
  <numFmts count="1">
    <numFmt numFmtId="164" formatCode="_(* #,##0.00_);_(* (#,##0.00);_(* &quot;-&quot;??_);_(@_)"/>
  </numFmts>
  <fonts count="6">
    <font>
      <name val="Calibri"/>
      <family val="2"/>
      <color theme="1"/>
      <sz val="11"/>
      <scheme val="minor"/>
    </font>
    <font>
      <b val="1"/>
      <color rgb="005C2D91"/>
      <sz val="14"/>
    </font>
    <font>
      <b val="1"/>
    </font>
    <font>
      <b val="1"/>
      <sz val="14"/>
    </font>
    <font>
      <b val="1"/>
      <color rgb="00FFFFFF"/>
    </font>
    <font>
      <color rgb="001F4E9E"/>
    </font>
  </fonts>
  <fills count="5">
    <fill>
      <patternFill/>
    </fill>
    <fill>
      <patternFill patternType="gray125"/>
    </fill>
    <fill>
      <patternFill patternType="solid">
        <fgColor rgb="00F3F1F6"/>
      </patternFill>
    </fill>
    <fill>
      <patternFill patternType="solid">
        <fgColor rgb="005C2D91"/>
      </patternFill>
    </fill>
    <fill>
      <patternFill patternType="solid">
        <fgColor rgb="00E2E0DF"/>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4" fillId="3" borderId="0" pivotButton="0" quotePrefix="0" xfId="0"/>
    <xf numFmtId="49" fontId="5" fillId="4" borderId="0" pivotButton="0" quotePrefix="0" xfId="0"/>
    <xf numFmtId="0" fontId="5" fillId="4" borderId="0" pivotButton="0" quotePrefix="0" xfId="0"/>
    <xf numFmtId="164" fontId="5" fillId="4" borderId="0" pivotButton="0" quotePrefix="0" xfId="0"/>
    <xf numFmtId="0" fontId="0" fillId="2" borderId="0" pivotButton="0" quotePrefix="0" xfId="0"/>
    <xf numFmtId="164" fontId="0" fillId="2" borderId="0" pivotButton="0" quotePrefix="0" xfId="0"/>
    <xf numFmtId="49" fontId="5" fillId="4" borderId="0" applyProtection="1" pivotButton="0" quotePrefix="0" xfId="0">
      <protection locked="0" hidden="0"/>
    </xf>
    <xf numFmtId="10" fontId="0" fillId="2" borderId="0" pivotButton="0" quotePrefix="0" xfId="0"/>
    <xf numFmtId="0" fontId="2" fillId="2" borderId="0" pivotButton="0" quotePrefix="0" xfId="0"/>
    <xf numFmtId="0" fontId="0" fillId="0" borderId="0" applyAlignment="1" pivotButton="0" quotePrefix="0" xfId="0">
      <alignment wrapText="1"/>
    </xf>
  </cellXfs>
  <cellStyles count="1">
    <cellStyle name="Normal" xfId="0" builtinId="0" hidden="0"/>
  </cellStyles>
  <dxfs count="3">
    <dxf>
      <fill>
        <patternFill patternType="solid">
          <fgColor rgb="00F8D7DA"/>
        </patternFill>
      </fill>
    </dxf>
    <dxf>
      <fill>
        <patternFill patternType="solid">
          <fgColor rgb="00FFF3CD"/>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blLoans" displayName="tblLoans" ref="A1:AL9" headerRowCount="1">
  <tableColumns count="38">
    <tableColumn id="1" name="loan_id"/>
    <tableColumn id="2" name="borrower_reference"/>
    <tableColumn id="3" name="year_loan_made"/>
    <tableColumn id="4" name="written_agreement"/>
    <tableColumn id="5" name="terms_in_place_before_lodgment_day"/>
    <tableColumn id="6" name="maximum_term_years"/>
    <tableColumn id="7" name="secured_by_registered_mortgage_over_real_property"/>
    <tableColumn id="8" name="security_coverage_at_first_made"/>
    <tableColumn id="9" name="interest_rate_for_years_after_year_loan_made"/>
    <tableColumn id="10" name="amalgamated_loan_unpaid_at_end_of_previous_year"/>
    <tableColumn id="11" name="remaining_term_years"/>
    <tableColumn id="12" name="payments_applied_during_the_year"/>
    <tableColumn id="13" name="out_of_scope_reason"/>
    <tableColumn id="14" name="year_of_income_being_tested"/>
    <tableColumn id="15" name="Status">
      <calculatedColumnFormula>IF(TRIM(tblLoans[[#This Row],[out_of_scope_reason]]&amp;"")&lt;&gt;"","SKIPPED",IF(IFERROR(VALUE(LEFT(tblLoans[[#This Row],[Year_made_text]],4))&lt;1998,FALSE),"SKIPPED","REVIEWED"))</calculatedColumnFormula>
    </tableColumn>
    <tableColumn id="16" name="Floor_year">
      <calculatedColumnFormula>IF(OR(LOWER(TRIM(tblLoans[[#This Row],[Year_tested_text]]&amp;""))={"","-","?","n/a","na","unk","unknown"}),tblLoans[[#This Row],[Year_made_text]],tblLoans[[#This Row],[Year_tested_text]])</calculatedColumnFormula>
    </tableColumn>
    <tableColumn id="17" name="Floor_rate">
      <calculatedColumnFormula>IFERROR(INDEX(tblRates[rate],MATCH(tblLoans[[#This Row],[Floor_year]],tblRates[year_of_income],0)),"")</calculatedColumnFormula>
    </tableColumn>
    <tableColumn id="18"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name="Gate_verdict">
      <calculatedColumnFormula>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name="Max_term_allowed">
      <calculatedColumnFormula>IF(OR(tblLoans[[#This Row],[Status]]="SKIPPED",OR(LOWER(TRIM(tblLoans[[#This Row],[Floor_year]]&amp;""))={"","-","?","n/a","na","unk","unknown"})),"",IF(tblLoans[[#This Row],[Allowed_term_raw]]&lt;&gt;"",tblLoans[[#This Row],[Allowed_term_raw]],IF(AND(ISNUMBER(tblLoans[[#This Row],[maximum_term_years]]),tblLoans[[#This Row],[maximum_term_years]]&lt;=7),7,"")))</calculatedColumnFormula>
    </tableColumn>
    <tableColumn id="26" name="Term_used">
      <calculatedColumnFormula>IF(tblLoans[[#This Row],[Status]]="SKIPPED","",IF(ISNUMBER(tblLoans[[#This Row],[remaining_term_years]]),ROUNDUP(tblLoans[[#This Row],[remaining_term_years]],0),""))</calculatedColumnFormula>
    </tableColumn>
    <tableColumn id="27"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name="MYR_verdict">
      <calculatedColumnFormula>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name="MYR_reason">
      <calculatedColumnFormula>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name="MYR_required">
      <calculatedColumnFormula>IF(OR(tblLoans[[#This Row],[MYR_verdict]]="MYR_MET",tblLoans[[#This Row],[MYR_verdict]]="MYR_SHORT"),tblLoans[[#This Row],[MYR_raw]],"")</calculatedColumnFormula>
    </tableColumn>
    <tableColumn id="31" name="Shortfall">
      <calculatedColumnFormula>IF(OR(tblLoans[[#This Row],[MYR_verdict]]="MYR_MET",tblLoans[[#This Row],[MYR_verdict]]="MYR_SHORT"),MAX(0,ROUND(tblLoans[[#This Row],[MYR_raw]]-ROUND(tblLoans[[#This Row],[payments_applied_during_the_year]],2),2)),"")</calculatedColumnFormula>
    </tableColumn>
    <tableColumn id="32" name="Exposure">
      <calculatedColumnFormula>IF(tblLoans[[#This Row],[MYR_verdict]]="MYR_SHORT",tblLoans[[#This Row],[Shortfall]],"")</calculatedColumnFormula>
    </tableColumn>
    <tableColumn id="33" name="Undecided">
      <calculatedColumnFormula>IF(AND(tblLoans[[#This Row],[Status]]="REVIEWED",OR(tblLoans[[#This Row],[Gate_verdict]]="UNKNOWN",tblLoans[[#This Row],[MYR_verdict]]="UNKNOWN")),1,0)</calculatedColumnFormula>
    </tableColumn>
    <tableColumn id="34"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name="Input_problem">
      <calculatedColumnFormula>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calculatedColumnFormula>
    </tableColumn>
    <tableColumn id="36" name="Sample_row">
      <calculatedColumnFormula>IF(SUMPRODUCT((tblLoans[[#This Row],[loan_id]]&amp;""={"L-101","L-102","L-103","L-104","L-105","L-106","L-107","L-108"})*(tblLoans[[#This Row],[Year_made_text]]&amp;""={"2023-24","2022-23","2021-22","2024-25","2019-20","2020-21","2023-24","1996-97"}))&gt;0,1,0)</calculatedColumnFormula>
    </tableColumn>
    <tableColumn id="37" name="Year_made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 id="38" name="Year_tested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s>
  <tableStyleInfo name="TableStyleLight1" showRowStripes="1"/>
</table>
</file>

<file path=xl/tables/table2.xml><?xml version="1.0" encoding="utf-8"?>
<table xmlns="http://schemas.openxmlformats.org/spreadsheetml/2006/main" id="2" name="tblRates" displayName="tblRates" ref="A1:G9" headerRowCount="1">
  <tableColumns count="7">
    <tableColumn id="1" name="year_of_income"/>
    <tableColumn id="2" name="rate"/>
    <tableColumn id="3" name="rba_table"/>
    <tableColumn id="4" name="rba_series"/>
    <tableColumn id="5" name="rba_month"/>
    <tableColumn id="6" name="source"/>
    <tableColumn id="7" name="seen"/>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Division 7A loan review: s 109N terms and s 109E minimum yearly repayment</t>
        </is>
      </c>
    </row>
    <row r="3">
      <c r="A3" s="2" t="inlineStr">
        <is>
          <t>1. On Register, paste one amalgamated loan per row over the example rows, using the same columns as the CSV the command line tool reads. Booleans are true, false or unknown; a blank is unknown. Rates are fractions (8.77 per cent is 0.0877). Years are written 2026-27.</t>
        </is>
      </c>
    </row>
    <row r="4">
      <c r="A4" s="2" t="inlineStr">
        <is>
          <t>2. On Summary, choose the year of income to review. The s 109N gate reads each loan's benchmark from the year the loan was made; the repayment uses the chosen year's rate.</t>
        </is>
      </c>
    </row>
    <row r="5">
      <c r="A5" s="2" t="inlineStr">
        <is>
          <t>3. Read the calculated columns on Register: each s 109N(1) limb, the gate verdict, the s 109E(6) repayment, the shortfall and the experimental exposure. REFUSED and UNKNOWN are answers, never a number; the reason column says why.</t>
        </is>
      </c>
    </row>
    <row r="6">
      <c r="A6" s="2" t="inlineStr">
        <is>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is>
      </c>
    </row>
    <row r="7">
      <c r="A7" s="2" t="inlineStr">
        <is>
          <t>5. A rising benchmark rate raises the minimum yearly repayment on existing complying loans, not just on new ones: s 109E(6) uses the current year's rate.</t>
        </is>
      </c>
    </row>
    <row r="8">
      <c r="A8" s="2" t="inlineStr">
        <is>
          <t>6. Experimental review aid. Not a Division 7A determination. The shortfall is not the dividend (s 109Y, s 109Q and s 109RB are not modelled) and s 109R is not applied.</t>
        </is>
      </c>
    </row>
    <row r="10">
      <c r="A10" s="3" t="inlineStr">
        <is>
          <t>Overall status</t>
        </is>
      </c>
    </row>
    <row r="11">
      <c r="A11" s="4">
        <f>'Review Checks'!B10</f>
        <v/>
      </c>
    </row>
    <row r="13">
      <c r="A13" t="inlineStr">
        <is>
          <t>div7a-loan-review workbook, engine 0.2.0. Macro-free. Not advice; see DISCLAIMER.md in the repository.</t>
        </is>
      </c>
    </row>
  </sheetData>
  <conditionalFormatting sqref="A11">
    <cfRule type="cellIs" priority="1" operator="equal" dxfId="0">
      <formula>"BLOCKED"</formula>
    </cfRule>
    <cfRule type="cellIs" priority="2" operator="equal" dxfId="1">
      <formula>"REVIEW"</formula>
    </cfRule>
    <cfRule type="cellIs" priority="3" operator="equal" dxfId="2">
      <formula>"PASS"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4" customWidth="1" min="10" max="10"/>
    <col width="12" customWidth="1" min="11" max="11"/>
    <col width="14" customWidth="1" min="12" max="12"/>
    <col width="2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40" customWidth="1" min="29" max="29"/>
    <col width="14" customWidth="1" min="30" max="30"/>
    <col width="14" customWidth="1" min="31" max="31"/>
    <col width="14" customWidth="1" min="32" max="32"/>
    <col width="12" customWidth="1" min="33" max="33"/>
    <col width="12" customWidth="1" min="34" max="34"/>
    <col width="12" customWidth="1" min="35" max="35"/>
    <col width="12" customWidth="1" min="36" max="36"/>
    <col hidden="1" width="12" customWidth="1" min="37" max="37"/>
    <col hidden="1" width="12" customWidth="1" min="38" max="38"/>
  </cols>
  <sheetData>
    <row r="1">
      <c r="A1" s="5" t="inlineStr">
        <is>
          <t>loan_id</t>
        </is>
      </c>
      <c r="B1" s="5" t="inlineStr">
        <is>
          <t>borrower_reference</t>
        </is>
      </c>
      <c r="C1" s="5" t="inlineStr">
        <is>
          <t>year_loan_made</t>
        </is>
      </c>
      <c r="D1" s="5" t="inlineStr">
        <is>
          <t>written_agreement</t>
        </is>
      </c>
      <c r="E1" s="5" t="inlineStr">
        <is>
          <t>terms_in_place_before_lodgment_day</t>
        </is>
      </c>
      <c r="F1" s="5" t="inlineStr">
        <is>
          <t>maximum_term_years</t>
        </is>
      </c>
      <c r="G1" s="5" t="inlineStr">
        <is>
          <t>secured_by_registered_mortgage_over_real_property</t>
        </is>
      </c>
      <c r="H1" s="5" t="inlineStr">
        <is>
          <t>security_coverage_at_first_made</t>
        </is>
      </c>
      <c r="I1" s="5" t="inlineStr">
        <is>
          <t>interest_rate_for_years_after_year_loan_made</t>
        </is>
      </c>
      <c r="J1" s="5" t="inlineStr">
        <is>
          <t>amalgamated_loan_unpaid_at_end_of_previous_year</t>
        </is>
      </c>
      <c r="K1" s="5" t="inlineStr">
        <is>
          <t>remaining_term_years</t>
        </is>
      </c>
      <c r="L1" s="5" t="inlineStr">
        <is>
          <t>payments_applied_during_the_year</t>
        </is>
      </c>
      <c r="M1" s="5" t="inlineStr">
        <is>
          <t>out_of_scope_reason</t>
        </is>
      </c>
      <c r="N1" s="5" t="inlineStr">
        <is>
          <t>year_of_income_being_tested</t>
        </is>
      </c>
      <c r="O1" s="5" t="inlineStr">
        <is>
          <t>Status</t>
        </is>
      </c>
      <c r="P1" s="5" t="inlineStr">
        <is>
          <t>Floor_year</t>
        </is>
      </c>
      <c r="Q1" s="5" t="inlineStr">
        <is>
          <t>Floor_rate</t>
        </is>
      </c>
      <c r="R1" s="5" t="inlineStr">
        <is>
          <t>Limb_a_written</t>
        </is>
      </c>
      <c r="S1" s="5" t="inlineStr">
        <is>
          <t>Limb_lodgment</t>
        </is>
      </c>
      <c r="T1" s="5" t="inlineStr">
        <is>
          <t>Limb_b_rate</t>
        </is>
      </c>
      <c r="U1" s="5" t="inlineStr">
        <is>
          <t>Limb_secured</t>
        </is>
      </c>
      <c r="V1" s="5" t="inlineStr">
        <is>
          <t>Allowed_term_raw</t>
        </is>
      </c>
      <c r="W1" s="5" t="inlineStr">
        <is>
          <t>Limb_c_term</t>
        </is>
      </c>
      <c r="X1" s="5" t="inlineStr">
        <is>
          <t>Gate_verdict</t>
        </is>
      </c>
      <c r="Y1" s="5" t="inlineStr">
        <is>
          <t>Max_term_allowed</t>
        </is>
      </c>
      <c r="Z1" s="5" t="inlineStr">
        <is>
          <t>Term_used</t>
        </is>
      </c>
      <c r="AA1" s="5" t="inlineStr">
        <is>
          <t>MYR_raw</t>
        </is>
      </c>
      <c r="AB1" s="5" t="inlineStr">
        <is>
          <t>MYR_verdict</t>
        </is>
      </c>
      <c r="AC1" s="5" t="inlineStr">
        <is>
          <t>MYR_reason</t>
        </is>
      </c>
      <c r="AD1" s="5" t="inlineStr">
        <is>
          <t>MYR_required</t>
        </is>
      </c>
      <c r="AE1" s="5" t="inlineStr">
        <is>
          <t>Shortfall</t>
        </is>
      </c>
      <c r="AF1" s="5" t="inlineStr">
        <is>
          <t>Exposure</t>
        </is>
      </c>
      <c r="AG1" s="5" t="inlineStr">
        <is>
          <t>Undecided</t>
        </is>
      </c>
      <c r="AH1" s="5" t="inlineStr">
        <is>
          <t>Guard</t>
        </is>
      </c>
      <c r="AI1" s="5" t="inlineStr">
        <is>
          <t>Input_problem</t>
        </is>
      </c>
      <c r="AJ1" s="5" t="inlineStr">
        <is>
          <t>Sample_row</t>
        </is>
      </c>
      <c r="AK1" s="5" t="inlineStr">
        <is>
          <t>Year_made_text</t>
        </is>
      </c>
      <c r="AL1" s="5" t="inlineStr">
        <is>
          <t>Year_tested_text</t>
        </is>
      </c>
    </row>
    <row r="2">
      <c r="A2" s="6" t="inlineStr">
        <is>
          <t>L-101</t>
        </is>
      </c>
      <c r="B2" s="6" t="inlineStr">
        <is>
          <t>SYN-SHAREHOLDER-A</t>
        </is>
      </c>
      <c r="C2" s="6" t="inlineStr">
        <is>
          <t>2023-24</t>
        </is>
      </c>
      <c r="D2" s="7" t="inlineStr">
        <is>
          <t>true</t>
        </is>
      </c>
      <c r="E2" s="7" t="inlineStr">
        <is>
          <t>true</t>
        </is>
      </c>
      <c r="F2" s="7" t="n">
        <v>7</v>
      </c>
      <c r="G2" s="7" t="inlineStr">
        <is>
          <t>false</t>
        </is>
      </c>
      <c r="H2" s="7" t="inlineStr">
        <is>
          <t>unknown</t>
        </is>
      </c>
      <c r="I2" s="7" t="n">
        <v>0.0827</v>
      </c>
      <c r="J2" s="8" t="n">
        <v>120000</v>
      </c>
      <c r="K2" s="7" t="n">
        <v>3</v>
      </c>
      <c r="L2" s="8" t="n">
        <v>45000</v>
      </c>
      <c r="M2" s="6" t="n"/>
      <c r="N2" s="6" t="n"/>
      <c r="O2" s="9">
        <f>IF(TRIM(tblLoans[[#This Row],[out_of_scope_reason]]&amp;"")&lt;&gt;"","SKIPPED",IF(IFERROR(VALUE(LEFT(tblLoans[[#This Row],[Year_made_text]],4))&lt;1998,FALSE),"SKIPPED","REVIEWED"))</f>
        <v/>
      </c>
      <c r="P2" s="9">
        <f>IF(OR(LOWER(TRIM(tblLoans[[#This Row],[Year_tested_text]]&amp;""))={"","-","?","n/a","na","unk","unknown"}),tblLoans[[#This Row],[Year_made_text]],tblLoans[[#This Row],[Year_tested_text]])</f>
        <v/>
      </c>
      <c r="Q2" s="9">
        <f>IFERROR(INDEX(tblRates[rate],MATCH(tblLoans[[#This Row],[Floor_year]],tblRates[year_of_income],0)),"")</f>
        <v/>
      </c>
      <c r="R2" s="9">
        <f>IF(OR(LOWER(TRIM(tblLoans[[#This Row],[written_agreement]]&amp;""))={"","-","?","n/a","na","unk","unknown"}),"UNKNOWN",IF(OR(LOWER(TRIM(tblLoans[[#This Row],[written_agreement]]&amp;""))={"1","t","true","y","yes"}),"PASS",IF(OR(LOWER(TRIM(tblLoans[[#This Row],[written_agreement]]&amp;""))={"0","f","false","n","no"}),"FAIL","UNKNOWN")))</f>
        <v/>
      </c>
      <c r="S2" s="9">
        <f>IF(OR(LOWER(TRIM(tblLoans[[#This Row],[terms_in_place_before_lodgment_day]]&amp;""))={"","-","?","n/a","na","unk","unknown"}),"UNKNOWN",IF(OR(LOWER(TRIM(tblLoans[[#This Row],[terms_in_place_before_lodgment_day]]&amp;""))={"1","t","true","y","yes"}),"PASS",IF(OR(LOWER(TRIM(tblLoans[[#This Row],[terms_in_place_before_lodgment_day]]&amp;""))={"0","f","false","n","no"}),"FAIL","UNKNOWN")))</f>
        <v/>
      </c>
      <c r="T2" s="9">
        <f>IF(NOT(ISNUMBER(tblLoans[[#This Row],[interest_rate_for_years_after_year_loan_made]])),"UNKNOWN",IF(tblLoans[[#This Row],[Floor_rate]]="","UNKNOWN",IF(tblLoans[[#This Row],[interest_rate_for_years_after_year_loan_made]]&gt;=tblLoans[[#This Row],[Floor_rate]],"PASS","FAIL")))</f>
        <v/>
      </c>
      <c r="U2"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2" s="9">
        <f>IF(tblLoans[[#This Row],[Limb_secured]]="FAIL",7,IF(tblLoans[[#This Row],[Limb_secured]]="PASS",IF(ISNUMBER(tblLoans[[#This Row],[security_coverage_at_first_made]]),IF(tblLoans[[#This Row],[security_coverage_at_first_made]]&gt;=1.1,25,7),""),""))</f>
        <v/>
      </c>
      <c r="W2" s="9">
        <f>IF(NOT(ISNUMBER(tblLoans[[#This Row],[maximum_term_years]])),"UNKNOWN",IF(tblLoans[[#This Row],[Allowed_term_raw]]="",IF(tblLoans[[#This Row],[maximum_term_years]]&lt;=7,"PASS","UNKNOWN"),IF(tblLoans[[#This Row],[maximum_term_years]]&lt;=tblLoans[[#This Row],[Allowed_term_raw]],"PASS","FAIL")))</f>
        <v/>
      </c>
      <c r="X2"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2" s="9">
        <f>IF(OR(tblLoans[[#This Row],[Status]]="SKIPPED",OR(LOWER(TRIM(tblLoans[[#This Row],[Floor_year]]&amp;""))={"","-","?","n/a","na","unk","unknown"})),"",IF(tblLoans[[#This Row],[Allowed_term_raw]]&lt;&gt;"",tblLoans[[#This Row],[Allowed_term_raw]],IF(AND(ISNUMBER(tblLoans[[#This Row],[maximum_term_years]]),tblLoans[[#This Row],[maximum_term_years]]&lt;=7),7,"")))</f>
        <v/>
      </c>
      <c r="Z2" s="9">
        <f>IF(tblLoans[[#This Row],[Status]]="SKIPPED","",IF(ISNUMBER(tblLoans[[#This Row],[remaining_term_years]]),ROUNDUP(tblLoans[[#This Row],[remaining_term_years]],0),""))</f>
        <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2"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2"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
      </c>
      <c r="AE2" s="10">
        <f>IF(OR(tblLoans[[#This Row],[MYR_verdict]]="MYR_MET",tblLoans[[#This Row],[MYR_verdict]]="MYR_SHORT"),MAX(0,ROUND(tblLoans[[#This Row],[MYR_raw]]-ROUND(tblLoans[[#This Row],[payments_applied_during_the_year]],2),2)),"")</f>
        <v/>
      </c>
      <c r="AF2" s="10">
        <f>IF(tblLoans[[#This Row],[MYR_verdict]]="MYR_SHORT",tblLoans[[#This Row],[Shortfall]],"")</f>
        <v/>
      </c>
      <c r="AG2" s="9">
        <f>IF(AND(tblLoans[[#This Row],[Status]]="REVIEWED",OR(tblLoans[[#This Row],[Gate_verdict]]="UNKNOWN",tblLoans[[#This Row],[MYR_verdict]]="UNKNOWN")),1,0)</f>
        <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2"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2" s="9">
        <f>IF(SUMPRODUCT((tblLoans[[#This Row],[loan_id]]&amp;""={"L-101","L-102","L-103","L-104","L-105","L-106","L-107","L-108"})*(tblLoans[[#This Row],[Year_made_text]]&amp;""={"2023-24","2022-23","2021-22","2024-25","2019-20","2020-21","2023-24","1996-97"}))&gt;0,1,0)</f>
        <v/>
      </c>
      <c r="AK2"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2"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3">
      <c r="A3" s="6" t="inlineStr">
        <is>
          <t>L-102</t>
        </is>
      </c>
      <c r="B3" s="6" t="inlineStr">
        <is>
          <t>SYN-ASSOCIATE-B</t>
        </is>
      </c>
      <c r="C3" s="6" t="inlineStr">
        <is>
          <t>2022-23</t>
        </is>
      </c>
      <c r="D3" s="7" t="inlineStr">
        <is>
          <t>true</t>
        </is>
      </c>
      <c r="E3" s="7" t="inlineStr">
        <is>
          <t>true</t>
        </is>
      </c>
      <c r="F3" s="7" t="n">
        <v>7</v>
      </c>
      <c r="G3" s="7" t="inlineStr">
        <is>
          <t>false</t>
        </is>
      </c>
      <c r="H3" s="7" t="inlineStr">
        <is>
          <t>unknown</t>
        </is>
      </c>
      <c r="I3" s="7" t="n">
        <v>0.04</v>
      </c>
      <c r="J3" s="8" t="n">
        <v>90000</v>
      </c>
      <c r="K3" s="7" t="n">
        <v>4</v>
      </c>
      <c r="L3" s="8" t="n">
        <v>20000</v>
      </c>
      <c r="M3" s="6" t="n"/>
      <c r="N3" s="6" t="n"/>
      <c r="O3" s="9">
        <f>IF(TRIM(tblLoans[[#This Row],[out_of_scope_reason]]&amp;"")&lt;&gt;"","SKIPPED",IF(IFERROR(VALUE(LEFT(tblLoans[[#This Row],[Year_made_text]],4))&lt;1998,FALSE),"SKIPPED","REVIEWED"))</f>
        <v/>
      </c>
      <c r="P3" s="9">
        <f>IF(OR(LOWER(TRIM(tblLoans[[#This Row],[Year_tested_text]]&amp;""))={"","-","?","n/a","na","unk","unknown"}),tblLoans[[#This Row],[Year_made_text]],tblLoans[[#This Row],[Year_tested_text]])</f>
        <v/>
      </c>
      <c r="Q3" s="9">
        <f>IFERROR(INDEX(tblRates[rate],MATCH(tblLoans[[#This Row],[Floor_year]],tblRates[year_of_income],0)),"")</f>
        <v/>
      </c>
      <c r="R3" s="9">
        <f>IF(OR(LOWER(TRIM(tblLoans[[#This Row],[written_agreement]]&amp;""))={"","-","?","n/a","na","unk","unknown"}),"UNKNOWN",IF(OR(LOWER(TRIM(tblLoans[[#This Row],[written_agreement]]&amp;""))={"1","t","true","y","yes"}),"PASS",IF(OR(LOWER(TRIM(tblLoans[[#This Row],[written_agreement]]&amp;""))={"0","f","false","n","no"}),"FAIL","UNKNOWN")))</f>
        <v/>
      </c>
      <c r="S3" s="9">
        <f>IF(OR(LOWER(TRIM(tblLoans[[#This Row],[terms_in_place_before_lodgment_day]]&amp;""))={"","-","?","n/a","na","unk","unknown"}),"UNKNOWN",IF(OR(LOWER(TRIM(tblLoans[[#This Row],[terms_in_place_before_lodgment_day]]&amp;""))={"1","t","true","y","yes"}),"PASS",IF(OR(LOWER(TRIM(tblLoans[[#This Row],[terms_in_place_before_lodgment_day]]&amp;""))={"0","f","false","n","no"}),"FAIL","UNKNOWN")))</f>
        <v/>
      </c>
      <c r="T3" s="9">
        <f>IF(NOT(ISNUMBER(tblLoans[[#This Row],[interest_rate_for_years_after_year_loan_made]])),"UNKNOWN",IF(tblLoans[[#This Row],[Floor_rate]]="","UNKNOWN",IF(tblLoans[[#This Row],[interest_rate_for_years_after_year_loan_made]]&gt;=tblLoans[[#This Row],[Floor_rate]],"PASS","FAIL")))</f>
        <v/>
      </c>
      <c r="U3"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3" s="9">
        <f>IF(tblLoans[[#This Row],[Limb_secured]]="FAIL",7,IF(tblLoans[[#This Row],[Limb_secured]]="PASS",IF(ISNUMBER(tblLoans[[#This Row],[security_coverage_at_first_made]]),IF(tblLoans[[#This Row],[security_coverage_at_first_made]]&gt;=1.1,25,7),""),""))</f>
        <v/>
      </c>
      <c r="W3" s="9">
        <f>IF(NOT(ISNUMBER(tblLoans[[#This Row],[maximum_term_years]])),"UNKNOWN",IF(tblLoans[[#This Row],[Allowed_term_raw]]="",IF(tblLoans[[#This Row],[maximum_term_years]]&lt;=7,"PASS","UNKNOWN"),IF(tblLoans[[#This Row],[maximum_term_years]]&lt;=tblLoans[[#This Row],[Allowed_term_raw]],"PASS","FAIL")))</f>
        <v/>
      </c>
      <c r="X3"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3" s="9">
        <f>IF(OR(tblLoans[[#This Row],[Status]]="SKIPPED",OR(LOWER(TRIM(tblLoans[[#This Row],[Floor_year]]&amp;""))={"","-","?","n/a","na","unk","unknown"})),"",IF(tblLoans[[#This Row],[Allowed_term_raw]]&lt;&gt;"",tblLoans[[#This Row],[Allowed_term_raw]],IF(AND(ISNUMBER(tblLoans[[#This Row],[maximum_term_years]]),tblLoans[[#This Row],[maximum_term_years]]&lt;=7),7,"")))</f>
        <v/>
      </c>
      <c r="Z3" s="9">
        <f>IF(tblLoans[[#This Row],[Status]]="SKIPPED","",IF(ISNUMBER(tblLoans[[#This Row],[remaining_term_years]]),ROUNDUP(tblLoans[[#This Row],[remaining_term_years]],0),""))</f>
        <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3"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3"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3" s="10">
        <f>IF(OR(tblLoans[[#This Row],[MYR_verdict]]="MYR_MET",tblLoans[[#This Row],[MYR_verdict]]="MYR_SHORT"),tblLoans[[#This Row],[MYR_raw]],"")</f>
        <v/>
      </c>
      <c r="AE3" s="10">
        <f>IF(OR(tblLoans[[#This Row],[MYR_verdict]]="MYR_MET",tblLoans[[#This Row],[MYR_verdict]]="MYR_SHORT"),MAX(0,ROUND(tblLoans[[#This Row],[MYR_raw]]-ROUND(tblLoans[[#This Row],[payments_applied_during_the_year]],2),2)),"")</f>
        <v/>
      </c>
      <c r="AF3" s="10">
        <f>IF(tblLoans[[#This Row],[MYR_verdict]]="MYR_SHORT",tblLoans[[#This Row],[Shortfall]],"")</f>
        <v/>
      </c>
      <c r="AG3" s="9">
        <f>IF(AND(tblLoans[[#This Row],[Status]]="REVIEWED",OR(tblLoans[[#This Row],[Gate_verdict]]="UNKNOWN",tblLoans[[#This Row],[MYR_verdict]]="UNKNOWN")),1,0)</f>
        <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3"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3" s="9">
        <f>IF(SUMPRODUCT((tblLoans[[#This Row],[loan_id]]&amp;""={"L-101","L-102","L-103","L-104","L-105","L-106","L-107","L-108"})*(tblLoans[[#This Row],[Year_made_text]]&amp;""={"2023-24","2022-23","2021-22","2024-25","2019-20","2020-21","2023-24","1996-97"}))&gt;0,1,0)</f>
        <v/>
      </c>
      <c r="AK3"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3"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4">
      <c r="A4" s="6" t="inlineStr">
        <is>
          <t>L-103</t>
        </is>
      </c>
      <c r="B4" s="6" t="inlineStr">
        <is>
          <t>SYN-SHAREHOLDER-C</t>
        </is>
      </c>
      <c r="C4" s="6" t="inlineStr">
        <is>
          <t>2021-22</t>
        </is>
      </c>
      <c r="D4" s="7" t="inlineStr">
        <is>
          <t>unknown</t>
        </is>
      </c>
      <c r="E4" s="7" t="inlineStr">
        <is>
          <t>true</t>
        </is>
      </c>
      <c r="F4" s="7" t="n">
        <v>7</v>
      </c>
      <c r="G4" s="7" t="inlineStr">
        <is>
          <t>false</t>
        </is>
      </c>
      <c r="H4" s="7" t="inlineStr">
        <is>
          <t>unknown</t>
        </is>
      </c>
      <c r="I4" s="7" t="n">
        <v>0.0452</v>
      </c>
      <c r="J4" s="8" t="n">
        <v>50000</v>
      </c>
      <c r="K4" s="7" t="n">
        <v>2</v>
      </c>
      <c r="L4" s="8" t="n">
        <v>15000</v>
      </c>
      <c r="M4" s="6" t="n"/>
      <c r="N4" s="6" t="n"/>
      <c r="O4" s="9">
        <f>IF(TRIM(tblLoans[[#This Row],[out_of_scope_reason]]&amp;"")&lt;&gt;"","SKIPPED",IF(IFERROR(VALUE(LEFT(tblLoans[[#This Row],[Year_made_text]],4))&lt;1998,FALSE),"SKIPPED","REVIEWED"))</f>
        <v/>
      </c>
      <c r="P4" s="9">
        <f>IF(OR(LOWER(TRIM(tblLoans[[#This Row],[Year_tested_text]]&amp;""))={"","-","?","n/a","na","unk","unknown"}),tblLoans[[#This Row],[Year_made_text]],tblLoans[[#This Row],[Year_tested_text]])</f>
        <v/>
      </c>
      <c r="Q4" s="9">
        <f>IFERROR(INDEX(tblRates[rate],MATCH(tblLoans[[#This Row],[Floor_year]],tblRates[year_of_income],0)),"")</f>
        <v/>
      </c>
      <c r="R4" s="9">
        <f>IF(OR(LOWER(TRIM(tblLoans[[#This Row],[written_agreement]]&amp;""))={"","-","?","n/a","na","unk","unknown"}),"UNKNOWN",IF(OR(LOWER(TRIM(tblLoans[[#This Row],[written_agreement]]&amp;""))={"1","t","true","y","yes"}),"PASS",IF(OR(LOWER(TRIM(tblLoans[[#This Row],[written_agreement]]&amp;""))={"0","f","false","n","no"}),"FAIL","UNKNOWN")))</f>
        <v/>
      </c>
      <c r="S4" s="9">
        <f>IF(OR(LOWER(TRIM(tblLoans[[#This Row],[terms_in_place_before_lodgment_day]]&amp;""))={"","-","?","n/a","na","unk","unknown"}),"UNKNOWN",IF(OR(LOWER(TRIM(tblLoans[[#This Row],[terms_in_place_before_lodgment_day]]&amp;""))={"1","t","true","y","yes"}),"PASS",IF(OR(LOWER(TRIM(tblLoans[[#This Row],[terms_in_place_before_lodgment_day]]&amp;""))={"0","f","false","n","no"}),"FAIL","UNKNOWN")))</f>
        <v/>
      </c>
      <c r="T4" s="9">
        <f>IF(NOT(ISNUMBER(tblLoans[[#This Row],[interest_rate_for_years_after_year_loan_made]])),"UNKNOWN",IF(tblLoans[[#This Row],[Floor_rate]]="","UNKNOWN",IF(tblLoans[[#This Row],[interest_rate_for_years_after_year_loan_made]]&gt;=tblLoans[[#This Row],[Floor_rate]],"PASS","FAIL")))</f>
        <v/>
      </c>
      <c r="U4"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4" s="9">
        <f>IF(tblLoans[[#This Row],[Limb_secured]]="FAIL",7,IF(tblLoans[[#This Row],[Limb_secured]]="PASS",IF(ISNUMBER(tblLoans[[#This Row],[security_coverage_at_first_made]]),IF(tblLoans[[#This Row],[security_coverage_at_first_made]]&gt;=1.1,25,7),""),""))</f>
        <v/>
      </c>
      <c r="W4" s="9">
        <f>IF(NOT(ISNUMBER(tblLoans[[#This Row],[maximum_term_years]])),"UNKNOWN",IF(tblLoans[[#This Row],[Allowed_term_raw]]="",IF(tblLoans[[#This Row],[maximum_term_years]]&lt;=7,"PASS","UNKNOWN"),IF(tblLoans[[#This Row],[maximum_term_years]]&lt;=tblLoans[[#This Row],[Allowed_term_raw]],"PASS","FAIL")))</f>
        <v/>
      </c>
      <c r="X4"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4" s="9">
        <f>IF(OR(tblLoans[[#This Row],[Status]]="SKIPPED",OR(LOWER(TRIM(tblLoans[[#This Row],[Floor_year]]&amp;""))={"","-","?","n/a","na","unk","unknown"})),"",IF(tblLoans[[#This Row],[Allowed_term_raw]]&lt;&gt;"",tblLoans[[#This Row],[Allowed_term_raw]],IF(AND(ISNUMBER(tblLoans[[#This Row],[maximum_term_years]]),tblLoans[[#This Row],[maximum_term_years]]&lt;=7),7,"")))</f>
        <v/>
      </c>
      <c r="Z4" s="9">
        <f>IF(tblLoans[[#This Row],[Status]]="SKIPPED","",IF(ISNUMBER(tblLoans[[#This Row],[remaining_term_years]]),ROUNDUP(tblLoans[[#This Row],[remaining_term_years]],0),""))</f>
        <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4"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4"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4" s="10">
        <f>IF(OR(tblLoans[[#This Row],[MYR_verdict]]="MYR_MET",tblLoans[[#This Row],[MYR_verdict]]="MYR_SHORT"),tblLoans[[#This Row],[MYR_raw]],"")</f>
        <v/>
      </c>
      <c r="AE4" s="10">
        <f>IF(OR(tblLoans[[#This Row],[MYR_verdict]]="MYR_MET",tblLoans[[#This Row],[MYR_verdict]]="MYR_SHORT"),MAX(0,ROUND(tblLoans[[#This Row],[MYR_raw]]-ROUND(tblLoans[[#This Row],[payments_applied_during_the_year]],2),2)),"")</f>
        <v/>
      </c>
      <c r="AF4" s="10">
        <f>IF(tblLoans[[#This Row],[MYR_verdict]]="MYR_SHORT",tblLoans[[#This Row],[Shortfall]],"")</f>
        <v/>
      </c>
      <c r="AG4" s="9">
        <f>IF(AND(tblLoans[[#This Row],[Status]]="REVIEWED",OR(tblLoans[[#This Row],[Gate_verdict]]="UNKNOWN",tblLoans[[#This Row],[MYR_verdict]]="UNKNOWN")),1,0)</f>
        <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4"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4" s="9">
        <f>IF(SUMPRODUCT((tblLoans[[#This Row],[loan_id]]&amp;""={"L-101","L-102","L-103","L-104","L-105","L-106","L-107","L-108"})*(tblLoans[[#This Row],[Year_made_text]]&amp;""={"2023-24","2022-23","2021-22","2024-25","2019-20","2020-21","2023-24","1996-97"}))&gt;0,1,0)</f>
        <v/>
      </c>
      <c r="AK4"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4"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5">
      <c r="A5" s="6" t="inlineStr">
        <is>
          <t>L-104</t>
        </is>
      </c>
      <c r="B5" s="6" t="inlineStr">
        <is>
          <t>SYN-ASSOCIATE-D</t>
        </is>
      </c>
      <c r="C5" s="6" t="inlineStr">
        <is>
          <t>2024-25</t>
        </is>
      </c>
      <c r="D5" s="7" t="inlineStr">
        <is>
          <t>true</t>
        </is>
      </c>
      <c r="E5" s="7" t="inlineStr">
        <is>
          <t>true</t>
        </is>
      </c>
      <c r="F5" s="7" t="n">
        <v>7</v>
      </c>
      <c r="G5" s="7" t="inlineStr">
        <is>
          <t>false</t>
        </is>
      </c>
      <c r="H5" s="7" t="inlineStr">
        <is>
          <t>unknown</t>
        </is>
      </c>
      <c r="I5" s="7" t="n">
        <v>0.0877</v>
      </c>
      <c r="J5" s="8" t="n">
        <v>88000</v>
      </c>
      <c r="K5" s="7" t="n">
        <v>5</v>
      </c>
      <c r="L5" s="8" t="inlineStr">
        <is>
          <t>unknown</t>
        </is>
      </c>
      <c r="M5" s="6" t="n"/>
      <c r="N5" s="6" t="n"/>
      <c r="O5" s="9">
        <f>IF(TRIM(tblLoans[[#This Row],[out_of_scope_reason]]&amp;"")&lt;&gt;"","SKIPPED",IF(IFERROR(VALUE(LEFT(tblLoans[[#This Row],[Year_made_text]],4))&lt;1998,FALSE),"SKIPPED","REVIEWED"))</f>
        <v/>
      </c>
      <c r="P5" s="9">
        <f>IF(OR(LOWER(TRIM(tblLoans[[#This Row],[Year_tested_text]]&amp;""))={"","-","?","n/a","na","unk","unknown"}),tblLoans[[#This Row],[Year_made_text]],tblLoans[[#This Row],[Year_tested_text]])</f>
        <v/>
      </c>
      <c r="Q5" s="9">
        <f>IFERROR(INDEX(tblRates[rate],MATCH(tblLoans[[#This Row],[Floor_year]],tblRates[year_of_income],0)),"")</f>
        <v/>
      </c>
      <c r="R5" s="9">
        <f>IF(OR(LOWER(TRIM(tblLoans[[#This Row],[written_agreement]]&amp;""))={"","-","?","n/a","na","unk","unknown"}),"UNKNOWN",IF(OR(LOWER(TRIM(tblLoans[[#This Row],[written_agreement]]&amp;""))={"1","t","true","y","yes"}),"PASS",IF(OR(LOWER(TRIM(tblLoans[[#This Row],[written_agreement]]&amp;""))={"0","f","false","n","no"}),"FAIL","UNKNOWN")))</f>
        <v/>
      </c>
      <c r="S5" s="9">
        <f>IF(OR(LOWER(TRIM(tblLoans[[#This Row],[terms_in_place_before_lodgment_day]]&amp;""))={"","-","?","n/a","na","unk","unknown"}),"UNKNOWN",IF(OR(LOWER(TRIM(tblLoans[[#This Row],[terms_in_place_before_lodgment_day]]&amp;""))={"1","t","true","y","yes"}),"PASS",IF(OR(LOWER(TRIM(tblLoans[[#This Row],[terms_in_place_before_lodgment_day]]&amp;""))={"0","f","false","n","no"}),"FAIL","UNKNOWN")))</f>
        <v/>
      </c>
      <c r="T5" s="9">
        <f>IF(NOT(ISNUMBER(tblLoans[[#This Row],[interest_rate_for_years_after_year_loan_made]])),"UNKNOWN",IF(tblLoans[[#This Row],[Floor_rate]]="","UNKNOWN",IF(tblLoans[[#This Row],[interest_rate_for_years_after_year_loan_made]]&gt;=tblLoans[[#This Row],[Floor_rate]],"PASS","FAIL")))</f>
        <v/>
      </c>
      <c r="U5"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5" s="9">
        <f>IF(tblLoans[[#This Row],[Limb_secured]]="FAIL",7,IF(tblLoans[[#This Row],[Limb_secured]]="PASS",IF(ISNUMBER(tblLoans[[#This Row],[security_coverage_at_first_made]]),IF(tblLoans[[#This Row],[security_coverage_at_first_made]]&gt;=1.1,25,7),""),""))</f>
        <v/>
      </c>
      <c r="W5" s="9">
        <f>IF(NOT(ISNUMBER(tblLoans[[#This Row],[maximum_term_years]])),"UNKNOWN",IF(tblLoans[[#This Row],[Allowed_term_raw]]="",IF(tblLoans[[#This Row],[maximum_term_years]]&lt;=7,"PASS","UNKNOWN"),IF(tblLoans[[#This Row],[maximum_term_years]]&lt;=tblLoans[[#This Row],[Allowed_term_raw]],"PASS","FAIL")))</f>
        <v/>
      </c>
      <c r="X5"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5" s="9">
        <f>IF(OR(tblLoans[[#This Row],[Status]]="SKIPPED",OR(LOWER(TRIM(tblLoans[[#This Row],[Floor_year]]&amp;""))={"","-","?","n/a","na","unk","unknown"})),"",IF(tblLoans[[#This Row],[Allowed_term_raw]]&lt;&gt;"",tblLoans[[#This Row],[Allowed_term_raw]],IF(AND(ISNUMBER(tblLoans[[#This Row],[maximum_term_years]]),tblLoans[[#This Row],[maximum_term_years]]&lt;=7),7,"")))</f>
        <v/>
      </c>
      <c r="Z5" s="9">
        <f>IF(tblLoans[[#This Row],[Status]]="SKIPPED","",IF(ISNUMBER(tblLoans[[#This Row],[remaining_term_years]]),ROUNDUP(tblLoans[[#This Row],[remaining_term_years]],0),""))</f>
        <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5"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5"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5" s="10">
        <f>IF(OR(tblLoans[[#This Row],[MYR_verdict]]="MYR_MET",tblLoans[[#This Row],[MYR_verdict]]="MYR_SHORT"),tblLoans[[#This Row],[MYR_raw]],"")</f>
        <v/>
      </c>
      <c r="AE5" s="10">
        <f>IF(OR(tblLoans[[#This Row],[MYR_verdict]]="MYR_MET",tblLoans[[#This Row],[MYR_verdict]]="MYR_SHORT"),MAX(0,ROUND(tblLoans[[#This Row],[MYR_raw]]-ROUND(tblLoans[[#This Row],[payments_applied_during_the_year]],2),2)),"")</f>
        <v/>
      </c>
      <c r="AF5" s="10">
        <f>IF(tblLoans[[#This Row],[MYR_verdict]]="MYR_SHORT",tblLoans[[#This Row],[Shortfall]],"")</f>
        <v/>
      </c>
      <c r="AG5" s="9">
        <f>IF(AND(tblLoans[[#This Row],[Status]]="REVIEWED",OR(tblLoans[[#This Row],[Gate_verdict]]="UNKNOWN",tblLoans[[#This Row],[MYR_verdict]]="UNKNOWN")),1,0)</f>
        <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5"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5" s="9">
        <f>IF(SUMPRODUCT((tblLoans[[#This Row],[loan_id]]&amp;""={"L-101","L-102","L-103","L-104","L-105","L-106","L-107","L-108"})*(tblLoans[[#This Row],[Year_made_text]]&amp;""={"2023-24","2022-23","2021-22","2024-25","2019-20","2020-21","2023-24","1996-97"}))&gt;0,1,0)</f>
        <v/>
      </c>
      <c r="AK5"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5"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6">
      <c r="A6" s="6" t="inlineStr">
        <is>
          <t>L-105</t>
        </is>
      </c>
      <c r="B6" s="6" t="inlineStr">
        <is>
          <t>SYN-SHAREHOLDER-E</t>
        </is>
      </c>
      <c r="C6" s="6" t="inlineStr">
        <is>
          <t>2019-20</t>
        </is>
      </c>
      <c r="D6" s="7" t="inlineStr">
        <is>
          <t>true</t>
        </is>
      </c>
      <c r="E6" s="7" t="inlineStr">
        <is>
          <t>true</t>
        </is>
      </c>
      <c r="F6" s="7" t="n">
        <v>7</v>
      </c>
      <c r="G6" s="7" t="inlineStr">
        <is>
          <t>false</t>
        </is>
      </c>
      <c r="H6" s="7" t="inlineStr">
        <is>
          <t>unknown</t>
        </is>
      </c>
      <c r="I6" s="7" t="n">
        <v>0.0537</v>
      </c>
      <c r="J6" s="8" t="n">
        <v>12000</v>
      </c>
      <c r="K6" s="7" t="n">
        <v>0</v>
      </c>
      <c r="L6" s="8" t="n">
        <v>12000</v>
      </c>
      <c r="M6" s="6" t="n"/>
      <c r="N6" s="6" t="n"/>
      <c r="O6" s="9">
        <f>IF(TRIM(tblLoans[[#This Row],[out_of_scope_reason]]&amp;"")&lt;&gt;"","SKIPPED",IF(IFERROR(VALUE(LEFT(tblLoans[[#This Row],[Year_made_text]],4))&lt;1998,FALSE),"SKIPPED","REVIEWED"))</f>
        <v/>
      </c>
      <c r="P6" s="9">
        <f>IF(OR(LOWER(TRIM(tblLoans[[#This Row],[Year_tested_text]]&amp;""))={"","-","?","n/a","na","unk","unknown"}),tblLoans[[#This Row],[Year_made_text]],tblLoans[[#This Row],[Year_tested_text]])</f>
        <v/>
      </c>
      <c r="Q6" s="9">
        <f>IFERROR(INDEX(tblRates[rate],MATCH(tblLoans[[#This Row],[Floor_year]],tblRates[year_of_income],0)),"")</f>
        <v/>
      </c>
      <c r="R6" s="9">
        <f>IF(OR(LOWER(TRIM(tblLoans[[#This Row],[written_agreement]]&amp;""))={"","-","?","n/a","na","unk","unknown"}),"UNKNOWN",IF(OR(LOWER(TRIM(tblLoans[[#This Row],[written_agreement]]&amp;""))={"1","t","true","y","yes"}),"PASS",IF(OR(LOWER(TRIM(tblLoans[[#This Row],[written_agreement]]&amp;""))={"0","f","false","n","no"}),"FAIL","UNKNOWN")))</f>
        <v/>
      </c>
      <c r="S6" s="9">
        <f>IF(OR(LOWER(TRIM(tblLoans[[#This Row],[terms_in_place_before_lodgment_day]]&amp;""))={"","-","?","n/a","na","unk","unknown"}),"UNKNOWN",IF(OR(LOWER(TRIM(tblLoans[[#This Row],[terms_in_place_before_lodgment_day]]&amp;""))={"1","t","true","y","yes"}),"PASS",IF(OR(LOWER(TRIM(tblLoans[[#This Row],[terms_in_place_before_lodgment_day]]&amp;""))={"0","f","false","n","no"}),"FAIL","UNKNOWN")))</f>
        <v/>
      </c>
      <c r="T6" s="9">
        <f>IF(NOT(ISNUMBER(tblLoans[[#This Row],[interest_rate_for_years_after_year_loan_made]])),"UNKNOWN",IF(tblLoans[[#This Row],[Floor_rate]]="","UNKNOWN",IF(tblLoans[[#This Row],[interest_rate_for_years_after_year_loan_made]]&gt;=tblLoans[[#This Row],[Floor_rate]],"PASS","FAIL")))</f>
        <v/>
      </c>
      <c r="U6"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6" s="9">
        <f>IF(tblLoans[[#This Row],[Limb_secured]]="FAIL",7,IF(tblLoans[[#This Row],[Limb_secured]]="PASS",IF(ISNUMBER(tblLoans[[#This Row],[security_coverage_at_first_made]]),IF(tblLoans[[#This Row],[security_coverage_at_first_made]]&gt;=1.1,25,7),""),""))</f>
        <v/>
      </c>
      <c r="W6" s="9">
        <f>IF(NOT(ISNUMBER(tblLoans[[#This Row],[maximum_term_years]])),"UNKNOWN",IF(tblLoans[[#This Row],[Allowed_term_raw]]="",IF(tblLoans[[#This Row],[maximum_term_years]]&lt;=7,"PASS","UNKNOWN"),IF(tblLoans[[#This Row],[maximum_term_years]]&lt;=tblLoans[[#This Row],[Allowed_term_raw]],"PASS","FAIL")))</f>
        <v/>
      </c>
      <c r="X6"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6" s="9">
        <f>IF(OR(tblLoans[[#This Row],[Status]]="SKIPPED",OR(LOWER(TRIM(tblLoans[[#This Row],[Floor_year]]&amp;""))={"","-","?","n/a","na","unk","unknown"})),"",IF(tblLoans[[#This Row],[Allowed_term_raw]]&lt;&gt;"",tblLoans[[#This Row],[Allowed_term_raw]],IF(AND(ISNUMBER(tblLoans[[#This Row],[maximum_term_years]]),tblLoans[[#This Row],[maximum_term_years]]&lt;=7),7,"")))</f>
        <v/>
      </c>
      <c r="Z6" s="9">
        <f>IF(tblLoans[[#This Row],[Status]]="SKIPPED","",IF(ISNUMBER(tblLoans[[#This Row],[remaining_term_years]]),ROUNDUP(tblLoans[[#This Row],[remaining_term_years]],0),""))</f>
        <v/>
      </c>
      <c r="AA6"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6"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6" s="10">
        <f>IF(OR(tblLoans[[#This Row],[MYR_verdict]]="MYR_MET",tblLoans[[#This Row],[MYR_verdict]]="MYR_SHORT"),tblLoans[[#This Row],[MYR_raw]],"")</f>
        <v/>
      </c>
      <c r="AE6" s="10">
        <f>IF(OR(tblLoans[[#This Row],[MYR_verdict]]="MYR_MET",tblLoans[[#This Row],[MYR_verdict]]="MYR_SHORT"),MAX(0,ROUND(tblLoans[[#This Row],[MYR_raw]]-ROUND(tblLoans[[#This Row],[payments_applied_during_the_year]],2),2)),"")</f>
        <v/>
      </c>
      <c r="AF6" s="10">
        <f>IF(tblLoans[[#This Row],[MYR_verdict]]="MYR_SHORT",tblLoans[[#This Row],[Shortfall]],"")</f>
        <v/>
      </c>
      <c r="AG6" s="9">
        <f>IF(AND(tblLoans[[#This Row],[Status]]="REVIEWED",OR(tblLoans[[#This Row],[Gate_verdict]]="UNKNOWN",tblLoans[[#This Row],[MYR_verdict]]="UNKNOWN")),1,0)</f>
        <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6"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6" s="9">
        <f>IF(SUMPRODUCT((tblLoans[[#This Row],[loan_id]]&amp;""={"L-101","L-102","L-103","L-104","L-105","L-106","L-107","L-108"})*(tblLoans[[#This Row],[Year_made_text]]&amp;""={"2023-24","2022-23","2021-22","2024-25","2019-20","2020-21","2023-24","1996-97"}))&gt;0,1,0)</f>
        <v/>
      </c>
      <c r="AK6"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6"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7">
      <c r="A7" s="6" t="inlineStr">
        <is>
          <t>L-106</t>
        </is>
      </c>
      <c r="B7" s="6" t="inlineStr">
        <is>
          <t>SYN-ASSOCIATE-F</t>
        </is>
      </c>
      <c r="C7" s="6" t="inlineStr">
        <is>
          <t>2020-21</t>
        </is>
      </c>
      <c r="D7" s="7" t="inlineStr">
        <is>
          <t>true</t>
        </is>
      </c>
      <c r="E7" s="7" t="inlineStr">
        <is>
          <t>true</t>
        </is>
      </c>
      <c r="F7" s="7" t="n">
        <v>25</v>
      </c>
      <c r="G7" s="7" t="inlineStr">
        <is>
          <t>true</t>
        </is>
      </c>
      <c r="H7" s="7" t="n">
        <v>1.09</v>
      </c>
      <c r="I7" s="7" t="n">
        <v>0.0452</v>
      </c>
      <c r="J7" s="8" t="n">
        <v>300000</v>
      </c>
      <c r="K7" s="7" t="n">
        <v>15</v>
      </c>
      <c r="L7" s="8" t="n">
        <v>30000</v>
      </c>
      <c r="M7" s="6" t="n"/>
      <c r="N7" s="6" t="n"/>
      <c r="O7" s="9">
        <f>IF(TRIM(tblLoans[[#This Row],[out_of_scope_reason]]&amp;"")&lt;&gt;"","SKIPPED",IF(IFERROR(VALUE(LEFT(tblLoans[[#This Row],[Year_made_text]],4))&lt;1998,FALSE),"SKIPPED","REVIEWED"))</f>
        <v/>
      </c>
      <c r="P7" s="9">
        <f>IF(OR(LOWER(TRIM(tblLoans[[#This Row],[Year_tested_text]]&amp;""))={"","-","?","n/a","na","unk","unknown"}),tblLoans[[#This Row],[Year_made_text]],tblLoans[[#This Row],[Year_tested_text]])</f>
        <v/>
      </c>
      <c r="Q7" s="9">
        <f>IFERROR(INDEX(tblRates[rate],MATCH(tblLoans[[#This Row],[Floor_year]],tblRates[year_of_income],0)),"")</f>
        <v/>
      </c>
      <c r="R7" s="9">
        <f>IF(OR(LOWER(TRIM(tblLoans[[#This Row],[written_agreement]]&amp;""))={"","-","?","n/a","na","unk","unknown"}),"UNKNOWN",IF(OR(LOWER(TRIM(tblLoans[[#This Row],[written_agreement]]&amp;""))={"1","t","true","y","yes"}),"PASS",IF(OR(LOWER(TRIM(tblLoans[[#This Row],[written_agreement]]&amp;""))={"0","f","false","n","no"}),"FAIL","UNKNOWN")))</f>
        <v/>
      </c>
      <c r="S7" s="9">
        <f>IF(OR(LOWER(TRIM(tblLoans[[#This Row],[terms_in_place_before_lodgment_day]]&amp;""))={"","-","?","n/a","na","unk","unknown"}),"UNKNOWN",IF(OR(LOWER(TRIM(tblLoans[[#This Row],[terms_in_place_before_lodgment_day]]&amp;""))={"1","t","true","y","yes"}),"PASS",IF(OR(LOWER(TRIM(tblLoans[[#This Row],[terms_in_place_before_lodgment_day]]&amp;""))={"0","f","false","n","no"}),"FAIL","UNKNOWN")))</f>
        <v/>
      </c>
      <c r="T7" s="9">
        <f>IF(NOT(ISNUMBER(tblLoans[[#This Row],[interest_rate_for_years_after_year_loan_made]])),"UNKNOWN",IF(tblLoans[[#This Row],[Floor_rate]]="","UNKNOWN",IF(tblLoans[[#This Row],[interest_rate_for_years_after_year_loan_made]]&gt;=tblLoans[[#This Row],[Floor_rate]],"PASS","FAIL")))</f>
        <v/>
      </c>
      <c r="U7"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7" s="9">
        <f>IF(tblLoans[[#This Row],[Limb_secured]]="FAIL",7,IF(tblLoans[[#This Row],[Limb_secured]]="PASS",IF(ISNUMBER(tblLoans[[#This Row],[security_coverage_at_first_made]]),IF(tblLoans[[#This Row],[security_coverage_at_first_made]]&gt;=1.1,25,7),""),""))</f>
        <v/>
      </c>
      <c r="W7" s="9">
        <f>IF(NOT(ISNUMBER(tblLoans[[#This Row],[maximum_term_years]])),"UNKNOWN",IF(tblLoans[[#This Row],[Allowed_term_raw]]="",IF(tblLoans[[#This Row],[maximum_term_years]]&lt;=7,"PASS","UNKNOWN"),IF(tblLoans[[#This Row],[maximum_term_years]]&lt;=tblLoans[[#This Row],[Allowed_term_raw]],"PASS","FAIL")))</f>
        <v/>
      </c>
      <c r="X7"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7" s="9">
        <f>IF(OR(tblLoans[[#This Row],[Status]]="SKIPPED",OR(LOWER(TRIM(tblLoans[[#This Row],[Floor_year]]&amp;""))={"","-","?","n/a","na","unk","unknown"})),"",IF(tblLoans[[#This Row],[Allowed_term_raw]]&lt;&gt;"",tblLoans[[#This Row],[Allowed_term_raw]],IF(AND(ISNUMBER(tblLoans[[#This Row],[maximum_term_years]]),tblLoans[[#This Row],[maximum_term_years]]&lt;=7),7,"")))</f>
        <v/>
      </c>
      <c r="Z7" s="9">
        <f>IF(tblLoans[[#This Row],[Status]]="SKIPPED","",IF(ISNUMBER(tblLoans[[#This Row],[remaining_term_years]]),ROUNDUP(tblLoans[[#This Row],[remaining_term_years]],0),""))</f>
        <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7"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7"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7" s="10">
        <f>IF(OR(tblLoans[[#This Row],[MYR_verdict]]="MYR_MET",tblLoans[[#This Row],[MYR_verdict]]="MYR_SHORT"),tblLoans[[#This Row],[MYR_raw]],"")</f>
        <v/>
      </c>
      <c r="AE7" s="10">
        <f>IF(OR(tblLoans[[#This Row],[MYR_verdict]]="MYR_MET",tblLoans[[#This Row],[MYR_verdict]]="MYR_SHORT"),MAX(0,ROUND(tblLoans[[#This Row],[MYR_raw]]-ROUND(tblLoans[[#This Row],[payments_applied_during_the_year]],2),2)),"")</f>
        <v/>
      </c>
      <c r="AF7" s="10">
        <f>IF(tblLoans[[#This Row],[MYR_verdict]]="MYR_SHORT",tblLoans[[#This Row],[Shortfall]],"")</f>
        <v/>
      </c>
      <c r="AG7" s="9">
        <f>IF(AND(tblLoans[[#This Row],[Status]]="REVIEWED",OR(tblLoans[[#This Row],[Gate_verdict]]="UNKNOWN",tblLoans[[#This Row],[MYR_verdict]]="UNKNOWN")),1,0)</f>
        <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7"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7" s="9">
        <f>IF(SUMPRODUCT((tblLoans[[#This Row],[loan_id]]&amp;""={"L-101","L-102","L-103","L-104","L-105","L-106","L-107","L-108"})*(tblLoans[[#This Row],[Year_made_text]]&amp;""={"2023-24","2022-23","2021-22","2024-25","2019-20","2020-21","2023-24","1996-97"}))&gt;0,1,0)</f>
        <v/>
      </c>
      <c r="AK7"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7"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8">
      <c r="A8" s="6" t="inlineStr">
        <is>
          <t>L-107</t>
        </is>
      </c>
      <c r="B8" s="6" t="inlineStr">
        <is>
          <t>SYN-TRUST-G</t>
        </is>
      </c>
      <c r="C8" s="6" t="inlineStr">
        <is>
          <t>2023-24</t>
        </is>
      </c>
      <c r="D8" s="7" t="inlineStr">
        <is>
          <t>unknown</t>
        </is>
      </c>
      <c r="E8" s="7" t="inlineStr">
        <is>
          <t>unknown</t>
        </is>
      </c>
      <c r="F8" s="7" t="inlineStr">
        <is>
          <t>unknown</t>
        </is>
      </c>
      <c r="G8" s="7" t="inlineStr">
        <is>
          <t>unknown</t>
        </is>
      </c>
      <c r="H8" s="7" t="inlineStr">
        <is>
          <t>unknown</t>
        </is>
      </c>
      <c r="I8" s="7" t="inlineStr">
        <is>
          <t>unknown</t>
        </is>
      </c>
      <c r="J8" s="8" t="inlineStr">
        <is>
          <t>unknown</t>
        </is>
      </c>
      <c r="K8" s="7" t="inlineStr">
        <is>
          <t>unknown</t>
        </is>
      </c>
      <c r="L8" s="8" t="inlineStr">
        <is>
          <t>unknown</t>
        </is>
      </c>
      <c r="M8" s="6" t="inlineStr">
        <is>
          <t>Unpaid present entitlement under s 109XA; sub-trust arrangement not reviewed by this engine</t>
        </is>
      </c>
      <c r="N8" s="6" t="n"/>
      <c r="O8" s="9">
        <f>IF(TRIM(tblLoans[[#This Row],[out_of_scope_reason]]&amp;"")&lt;&gt;"","SKIPPED",IF(IFERROR(VALUE(LEFT(tblLoans[[#This Row],[Year_made_text]],4))&lt;1998,FALSE),"SKIPPED","REVIEWED"))</f>
        <v/>
      </c>
      <c r="P8" s="9">
        <f>IF(OR(LOWER(TRIM(tblLoans[[#This Row],[Year_tested_text]]&amp;""))={"","-","?","n/a","na","unk","unknown"}),tblLoans[[#This Row],[Year_made_text]],tblLoans[[#This Row],[Year_tested_text]])</f>
        <v/>
      </c>
      <c r="Q8" s="9">
        <f>IFERROR(INDEX(tblRates[rate],MATCH(tblLoans[[#This Row],[Floor_year]],tblRates[year_of_income],0)),"")</f>
        <v/>
      </c>
      <c r="R8" s="9">
        <f>IF(OR(LOWER(TRIM(tblLoans[[#This Row],[written_agreement]]&amp;""))={"","-","?","n/a","na","unk","unknown"}),"UNKNOWN",IF(OR(LOWER(TRIM(tblLoans[[#This Row],[written_agreement]]&amp;""))={"1","t","true","y","yes"}),"PASS",IF(OR(LOWER(TRIM(tblLoans[[#This Row],[written_agreement]]&amp;""))={"0","f","false","n","no"}),"FAIL","UNKNOWN")))</f>
        <v/>
      </c>
      <c r="S8" s="9">
        <f>IF(OR(LOWER(TRIM(tblLoans[[#This Row],[terms_in_place_before_lodgment_day]]&amp;""))={"","-","?","n/a","na","unk","unknown"}),"UNKNOWN",IF(OR(LOWER(TRIM(tblLoans[[#This Row],[terms_in_place_before_lodgment_day]]&amp;""))={"1","t","true","y","yes"}),"PASS",IF(OR(LOWER(TRIM(tblLoans[[#This Row],[terms_in_place_before_lodgment_day]]&amp;""))={"0","f","false","n","no"}),"FAIL","UNKNOWN")))</f>
        <v/>
      </c>
      <c r="T8" s="9">
        <f>IF(NOT(ISNUMBER(tblLoans[[#This Row],[interest_rate_for_years_after_year_loan_made]])),"UNKNOWN",IF(tblLoans[[#This Row],[Floor_rate]]="","UNKNOWN",IF(tblLoans[[#This Row],[interest_rate_for_years_after_year_loan_made]]&gt;=tblLoans[[#This Row],[Floor_rate]],"PASS","FAIL")))</f>
        <v/>
      </c>
      <c r="U8"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8" s="9">
        <f>IF(tblLoans[[#This Row],[Limb_secured]]="FAIL",7,IF(tblLoans[[#This Row],[Limb_secured]]="PASS",IF(ISNUMBER(tblLoans[[#This Row],[security_coverage_at_first_made]]),IF(tblLoans[[#This Row],[security_coverage_at_first_made]]&gt;=1.1,25,7),""),""))</f>
        <v/>
      </c>
      <c r="W8" s="9">
        <f>IF(NOT(ISNUMBER(tblLoans[[#This Row],[maximum_term_years]])),"UNKNOWN",IF(tblLoans[[#This Row],[Allowed_term_raw]]="",IF(tblLoans[[#This Row],[maximum_term_years]]&lt;=7,"PASS","UNKNOWN"),IF(tblLoans[[#This Row],[maximum_term_years]]&lt;=tblLoans[[#This Row],[Allowed_term_raw]],"PASS","FAIL")))</f>
        <v/>
      </c>
      <c r="X8"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f>IF(OR(tblLoans[[#This Row],[Status]]="SKIPPED",OR(LOWER(TRIM(tblLoans[[#This Row],[Floor_year]]&amp;""))={"","-","?","n/a","na","unk","unknown"})),"",IF(tblLoans[[#This Row],[Allowed_term_raw]]&lt;&gt;"",tblLoans[[#This Row],[Allowed_term_raw]],IF(AND(ISNUMBER(tblLoans[[#This Row],[maximum_term_years]]),tblLoans[[#This Row],[maximum_term_years]]&lt;=7),7,"")))</f>
        <v/>
      </c>
      <c r="Z8" s="9">
        <f>IF(tblLoans[[#This Row],[Status]]="SKIPPED","",IF(ISNUMBER(tblLoans[[#This Row],[remaining_term_years]]),ROUNDUP(tblLoans[[#This Row],[remaining_term_years]],0),""))</f>
        <v/>
      </c>
      <c r="AA8"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f>IF(OR(tblLoans[[#This Row],[MYR_verdict]]="MYR_MET",tblLoans[[#This Row],[MYR_verdict]]="MYR_SHORT"),tblLoans[[#This Row],[MYR_raw]],"")</f>
        <v/>
      </c>
      <c r="AE8" s="10">
        <f>IF(OR(tblLoans[[#This Row],[MYR_verdict]]="MYR_MET",tblLoans[[#This Row],[MYR_verdict]]="MYR_SHORT"),MAX(0,ROUND(tblLoans[[#This Row],[MYR_raw]]-ROUND(tblLoans[[#This Row],[payments_applied_during_the_year]],2),2)),"")</f>
        <v/>
      </c>
      <c r="AF8" s="10">
        <f>IF(tblLoans[[#This Row],[MYR_verdict]]="MYR_SHORT",tblLoans[[#This Row],[Shortfall]],"")</f>
        <v/>
      </c>
      <c r="AG8" s="9">
        <f>IF(AND(tblLoans[[#This Row],[Status]]="REVIEWED",OR(tblLoans[[#This Row],[Gate_verdict]]="UNKNOWN",tblLoans[[#This Row],[MYR_verdict]]="UNKNOWN")),1,0)</f>
        <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8"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8" s="9">
        <f>IF(SUMPRODUCT((tblLoans[[#This Row],[loan_id]]&amp;""={"L-101","L-102","L-103","L-104","L-105","L-106","L-107","L-108"})*(tblLoans[[#This Row],[Year_made_text]]&amp;""={"2023-24","2022-23","2021-22","2024-25","2019-20","2020-21","2023-24","1996-97"}))&gt;0,1,0)</f>
        <v/>
      </c>
      <c r="AK8"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8"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9">
      <c r="A9" s="6" t="inlineStr">
        <is>
          <t>L-108</t>
        </is>
      </c>
      <c r="B9" s="6" t="inlineStr">
        <is>
          <t>SYN-SHAREHOLDER-H</t>
        </is>
      </c>
      <c r="C9" s="6" t="inlineStr">
        <is>
          <t>1996-97</t>
        </is>
      </c>
      <c r="D9" s="7" t="inlineStr">
        <is>
          <t>true</t>
        </is>
      </c>
      <c r="E9" s="7" t="inlineStr">
        <is>
          <t>true</t>
        </is>
      </c>
      <c r="F9" s="7" t="n">
        <v>7</v>
      </c>
      <c r="G9" s="7" t="inlineStr">
        <is>
          <t>false</t>
        </is>
      </c>
      <c r="H9" s="7" t="inlineStr">
        <is>
          <t>unknown</t>
        </is>
      </c>
      <c r="I9" s="7" t="n">
        <v>0.07000000000000001</v>
      </c>
      <c r="J9" s="8" t="n">
        <v>40000</v>
      </c>
      <c r="K9" s="7" t="n">
        <v>3</v>
      </c>
      <c r="L9" s="8" t="n">
        <v>10000</v>
      </c>
      <c r="M9" s="6" t="n"/>
      <c r="N9" s="6" t="n"/>
      <c r="O9" s="9">
        <f>IF(TRIM(tblLoans[[#This Row],[out_of_scope_reason]]&amp;"")&lt;&gt;"","SKIPPED",IF(IFERROR(VALUE(LEFT(tblLoans[[#This Row],[Year_made_text]],4))&lt;1998,FALSE),"SKIPPED","REVIEWED"))</f>
        <v/>
      </c>
      <c r="P9" s="9">
        <f>IF(OR(LOWER(TRIM(tblLoans[[#This Row],[Year_tested_text]]&amp;""))={"","-","?","n/a","na","unk","unknown"}),tblLoans[[#This Row],[Year_made_text]],tblLoans[[#This Row],[Year_tested_text]])</f>
        <v/>
      </c>
      <c r="Q9" s="9">
        <f>IFERROR(INDEX(tblRates[rate],MATCH(tblLoans[[#This Row],[Floor_year]],tblRates[year_of_income],0)),"")</f>
        <v/>
      </c>
      <c r="R9" s="9">
        <f>IF(OR(LOWER(TRIM(tblLoans[[#This Row],[written_agreement]]&amp;""))={"","-","?","n/a","na","unk","unknown"}),"UNKNOWN",IF(OR(LOWER(TRIM(tblLoans[[#This Row],[written_agreement]]&amp;""))={"1","t","true","y","yes"}),"PASS",IF(OR(LOWER(TRIM(tblLoans[[#This Row],[written_agreement]]&amp;""))={"0","f","false","n","no"}),"FAIL","UNKNOWN")))</f>
        <v/>
      </c>
      <c r="S9" s="9">
        <f>IF(OR(LOWER(TRIM(tblLoans[[#This Row],[terms_in_place_before_lodgment_day]]&amp;""))={"","-","?","n/a","na","unk","unknown"}),"UNKNOWN",IF(OR(LOWER(TRIM(tblLoans[[#This Row],[terms_in_place_before_lodgment_day]]&amp;""))={"1","t","true","y","yes"}),"PASS",IF(OR(LOWER(TRIM(tblLoans[[#This Row],[terms_in_place_before_lodgment_day]]&amp;""))={"0","f","false","n","no"}),"FAIL","UNKNOWN")))</f>
        <v/>
      </c>
      <c r="T9" s="9">
        <f>IF(NOT(ISNUMBER(tblLoans[[#This Row],[interest_rate_for_years_after_year_loan_made]])),"UNKNOWN",IF(tblLoans[[#This Row],[Floor_rate]]="","UNKNOWN",IF(tblLoans[[#This Row],[interest_rate_for_years_after_year_loan_made]]&gt;=tblLoans[[#This Row],[Floor_rate]],"PASS","FAIL")))</f>
        <v/>
      </c>
      <c r="U9" s="9">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
      </c>
      <c r="V9" s="9">
        <f>IF(tblLoans[[#This Row],[Limb_secured]]="FAIL",7,IF(tblLoans[[#This Row],[Limb_secured]]="PASS",IF(ISNUMBER(tblLoans[[#This Row],[security_coverage_at_first_made]]),IF(tblLoans[[#This Row],[security_coverage_at_first_made]]&gt;=1.1,25,7),""),""))</f>
        <v/>
      </c>
      <c r="W9" s="9">
        <f>IF(NOT(ISNUMBER(tblLoans[[#This Row],[maximum_term_years]])),"UNKNOWN",IF(tblLoans[[#This Row],[Allowed_term_raw]]="",IF(tblLoans[[#This Row],[maximum_term_years]]&lt;=7,"PASS","UNKNOWN"),IF(tblLoans[[#This Row],[maximum_term_years]]&lt;=tblLoans[[#This Row],[Allowed_term_raw]],"PASS","FAIL")))</f>
        <v/>
      </c>
      <c r="X9" s="9">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f>IF(OR(tblLoans[[#This Row],[Status]]="SKIPPED",OR(LOWER(TRIM(tblLoans[[#This Row],[Floor_year]]&amp;""))={"","-","?","n/a","na","unk","unknown"})),"",IF(tblLoans[[#This Row],[Allowed_term_raw]]&lt;&gt;"",tblLoans[[#This Row],[Allowed_term_raw]],IF(AND(ISNUMBER(tblLoans[[#This Row],[maximum_term_years]]),tblLoans[[#This Row],[maximum_term_years]]&lt;=7),7,"")))</f>
        <v/>
      </c>
      <c r="Z9" s="9">
        <f>IF(tblLoans[[#This Row],[Status]]="SKIPPED","",IF(ISNUMBER(tblLoans[[#This Row],[remaining_term_years]]),ROUNDUP(tblLoans[[#This Row],[remaining_term_years]],0),""))</f>
        <v/>
      </c>
      <c r="AA9"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f>IF(OR(tblLoans[[#This Row],[MYR_verdict]]="MYR_MET",tblLoans[[#This Row],[MYR_verdict]]="MYR_SHORT"),tblLoans[[#This Row],[MYR_raw]],"")</f>
        <v/>
      </c>
      <c r="AE9" s="10">
        <f>IF(OR(tblLoans[[#This Row],[MYR_verdict]]="MYR_MET",tblLoans[[#This Row],[MYR_verdict]]="MYR_SHORT"),MAX(0,ROUND(tblLoans[[#This Row],[MYR_raw]]-ROUND(tblLoans[[#This Row],[payments_applied_during_the_year]],2),2)),"")</f>
        <v/>
      </c>
      <c r="AF9" s="10">
        <f>IF(tblLoans[[#This Row],[MYR_verdict]]="MYR_SHORT",tblLoans[[#This Row],[Shortfall]],"")</f>
        <v/>
      </c>
      <c r="AG9" s="9">
        <f>IF(AND(tblLoans[[#This Row],[Status]]="REVIEWED",OR(tblLoans[[#This Row],[Gate_verdict]]="UNKNOWN",tblLoans[[#This Row],[MYR_verdict]]="UNKNOWN")),1,0)</f>
        <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
      </c>
      <c r="AI9" s="9">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Row],[payments_applied_during_the_year]])&gt;1000000000000.00))))),"number ",""))))</f>
        <v/>
      </c>
      <c r="AJ9" s="9">
        <f>IF(SUMPRODUCT((tblLoans[[#This Row],[loan_id]]&amp;""={"L-101","L-102","L-103","L-104","L-105","L-106","L-107","L-108"})*(tblLoans[[#This Row],[Year_made_text]]&amp;""={"2023-24","2022-23","2021-22","2024-25","2019-20","2020-21","2023-24","1996-97"}))&gt;0,1,0)</f>
        <v/>
      </c>
      <c r="AK9"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c r="AL9" s="9">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sheetData>
  <dataValidations count="3">
    <dataValidation sqref="D2:D509" showDropDown="0" showInputMessage="0" showErrorMessage="0" allowBlank="1" type="list">
      <formula1>"true,false,unknown"</formula1>
    </dataValidation>
    <dataValidation sqref="E2:E509" showDropDown="0" showInputMessage="0" showErrorMessage="0" allowBlank="1" type="list">
      <formula1>"true,false,unknown"</formula1>
    </dataValidation>
    <dataValidation sqref="G2:G509" showDropDown="0" showInputMessage="0" showErrorMessage="0" allowBlank="1" type="list">
      <formula1>"true,false,unknown"</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90" customWidth="1" min="6" max="6"/>
  </cols>
  <sheetData>
    <row r="1">
      <c r="A1" s="5" t="inlineStr">
        <is>
          <t>year_of_income</t>
        </is>
      </c>
      <c r="B1" s="5" t="inlineStr">
        <is>
          <t>rate</t>
        </is>
      </c>
      <c r="C1" s="5" t="inlineStr">
        <is>
          <t>rba_table</t>
        </is>
      </c>
      <c r="D1" s="5" t="inlineStr">
        <is>
          <t>rba_series</t>
        </is>
      </c>
      <c r="E1" s="5" t="inlineStr">
        <is>
          <t>rba_month</t>
        </is>
      </c>
      <c r="F1" s="5" t="inlineStr">
        <is>
          <t>source</t>
        </is>
      </c>
      <c r="G1" s="5" t="inlineStr">
        <is>
          <t>seen</t>
        </is>
      </c>
    </row>
    <row r="2">
      <c r="A2" s="6" t="inlineStr">
        <is>
          <t>2019-20</t>
        </is>
      </c>
      <c r="B2" s="7" t="n">
        <v>0.0537</v>
      </c>
      <c r="C2" s="7" t="inlineStr">
        <is>
          <t>F5</t>
        </is>
      </c>
      <c r="D2" s="7" t="inlineStr">
        <is>
          <t>FILRHLBVS</t>
        </is>
      </c>
      <c r="E2" s="7" t="inlineStr">
        <is>
          <t>2019-05</t>
        </is>
      </c>
      <c r="F2" s="7" t="inlineStr">
        <is>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is>
      </c>
      <c r="G2" s="7" t="inlineStr">
        <is>
          <t>2026-08-28</t>
        </is>
      </c>
    </row>
    <row r="3">
      <c r="A3" s="6" t="inlineStr">
        <is>
          <t>2020-21</t>
        </is>
      </c>
      <c r="B3" s="7" t="n">
        <v>0.0452</v>
      </c>
      <c r="C3" s="7" t="inlineStr">
        <is>
          <t>F5</t>
        </is>
      </c>
      <c r="D3" s="7" t="inlineStr">
        <is>
          <t>FILRHLBVS</t>
        </is>
      </c>
      <c r="E3" s="7" t="inlineStr">
        <is>
          <t>2020-05</t>
        </is>
      </c>
      <c r="F3" s="7" t="inlineStr">
        <is>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is>
      </c>
      <c r="G3" s="7" t="inlineStr">
        <is>
          <t>2026-08-28</t>
        </is>
      </c>
    </row>
    <row r="4">
      <c r="A4" s="6" t="inlineStr">
        <is>
          <t>2021-22</t>
        </is>
      </c>
      <c r="B4" s="7" t="n">
        <v>0.0452</v>
      </c>
      <c r="C4" s="7" t="inlineStr">
        <is>
          <t>F5</t>
        </is>
      </c>
      <c r="D4" s="7" t="inlineStr">
        <is>
          <t>FILRHLBVS</t>
        </is>
      </c>
      <c r="E4" s="7" t="inlineStr">
        <is>
          <t>2021-05</t>
        </is>
      </c>
      <c r="F4" s="7" t="inlineStr">
        <is>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is>
      </c>
      <c r="G4" s="7" t="inlineStr">
        <is>
          <t>2026-08-28</t>
        </is>
      </c>
    </row>
    <row r="5">
      <c r="A5" s="6" t="inlineStr">
        <is>
          <t>2022-23</t>
        </is>
      </c>
      <c r="B5" s="7" t="n">
        <v>0.0477</v>
      </c>
      <c r="C5" s="7" t="inlineStr">
        <is>
          <t>F5</t>
        </is>
      </c>
      <c r="D5" s="7" t="inlineStr">
        <is>
          <t>FILRHLBVS</t>
        </is>
      </c>
      <c r="E5" s="7" t="inlineStr">
        <is>
          <t>2022-05</t>
        </is>
      </c>
      <c r="F5" s="7" t="inlineStr">
        <is>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is>
      </c>
      <c r="G5" s="7" t="inlineStr">
        <is>
          <t>2026-08-28</t>
        </is>
      </c>
    </row>
    <row r="6">
      <c r="A6" s="6" t="inlineStr">
        <is>
          <t>2023-24</t>
        </is>
      </c>
      <c r="B6" s="7" t="n">
        <v>0.0827</v>
      </c>
      <c r="C6" s="7" t="inlineStr">
        <is>
          <t>F5</t>
        </is>
      </c>
      <c r="D6" s="7" t="inlineStr">
        <is>
          <t>FILRHLBVS</t>
        </is>
      </c>
      <c r="E6" s="7" t="inlineStr">
        <is>
          <t>2023-05</t>
        </is>
      </c>
      <c r="F6" s="7" t="inlineStr">
        <is>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is>
      </c>
      <c r="G6" s="7" t="inlineStr">
        <is>
          <t>2026-08-28</t>
        </is>
      </c>
    </row>
    <row r="7">
      <c r="A7" s="6" t="inlineStr">
        <is>
          <t>2024-25</t>
        </is>
      </c>
      <c r="B7" s="7" t="n">
        <v>0.0877</v>
      </c>
      <c r="C7" s="7" t="inlineStr">
        <is>
          <t>F5</t>
        </is>
      </c>
      <c r="D7" s="7" t="inlineStr">
        <is>
          <t>FILRHLBVS</t>
        </is>
      </c>
      <c r="E7" s="7" t="inlineStr">
        <is>
          <t>2024-05</t>
        </is>
      </c>
      <c r="F7" s="7" t="inlineStr">
        <is>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is>
      </c>
      <c r="G7" s="7" t="inlineStr">
        <is>
          <t>2026-08-28</t>
        </is>
      </c>
    </row>
    <row r="8">
      <c r="A8" s="6" t="inlineStr">
        <is>
          <t>2025-26</t>
        </is>
      </c>
      <c r="B8" s="7" t="n">
        <v>0.0837</v>
      </c>
      <c r="C8" s="7" t="inlineStr">
        <is>
          <t>F5</t>
        </is>
      </c>
      <c r="D8" s="7" t="inlineStr">
        <is>
          <t>FILRHLBVS</t>
        </is>
      </c>
      <c r="E8" s="7" t="inlineStr">
        <is>
          <t>2025-05</t>
        </is>
      </c>
      <c r="F8" s="7" t="inlineStr">
        <is>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is>
      </c>
      <c r="G8" s="7" t="inlineStr">
        <is>
          <t>2026-08-28</t>
        </is>
      </c>
    </row>
    <row r="9">
      <c r="A9" s="6" t="inlineStr">
        <is>
          <t>2026-27</t>
        </is>
      </c>
      <c r="B9" s="7" t="n">
        <v>0.0877</v>
      </c>
      <c r="C9" s="7" t="inlineStr">
        <is>
          <t>F5</t>
        </is>
      </c>
      <c r="D9" s="7" t="inlineStr">
        <is>
          <t>FILRHLBVS</t>
        </is>
      </c>
      <c r="E9" s="7" t="inlineStr">
        <is>
          <t>2026-05</t>
        </is>
      </c>
      <c r="F9" s="7" t="inlineStr">
        <is>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is>
      </c>
      <c r="G9" s="7" t="inlineStr">
        <is>
          <t>2026-08-28</t>
        </is>
      </c>
    </row>
    <row r="12">
      <c r="A12" t="inlineStr">
        <is>
          <t>To review a year outside this table, add a row with the May RBA F5 FILRHLBVS figure and cite where you read it. A blank source is not a review.</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52" customWidth="1" min="1" max="1"/>
    <col width="18" customWidth="1" min="2" max="2"/>
  </cols>
  <sheetData>
    <row r="1">
      <c r="A1" s="5" t="inlineStr">
        <is>
          <t>Review</t>
        </is>
      </c>
      <c r="B1" s="5" t="inlineStr"/>
    </row>
    <row r="2">
      <c r="A2" t="inlineStr">
        <is>
          <t>Year of income under review</t>
        </is>
      </c>
      <c r="B2" s="11" t="inlineStr">
        <is>
          <t>2026-27</t>
        </is>
      </c>
    </row>
    <row r="3">
      <c r="A3" t="inlineStr">
        <is>
          <t>Benchmark interest rate for that year (s 109N(2))</t>
        </is>
      </c>
      <c r="B3" s="12">
        <f>IFERROR(INDEX(tblRates[rate],MATCH(B2,tblRates[year_of_income],0)),"")</f>
        <v/>
      </c>
    </row>
    <row r="4">
      <c r="A4" t="inlineStr">
        <is>
          <t>Year start</t>
        </is>
      </c>
      <c r="B4" s="9">
        <f>IFERROR(VALUE(LEFT(B2,4)),"")</f>
        <v/>
      </c>
    </row>
    <row r="6">
      <c r="A6" s="5" t="inlineStr">
        <is>
          <t>Summary (counts are per question, not per row)</t>
        </is>
      </c>
      <c r="B6" s="5" t="inlineStr"/>
    </row>
    <row r="7">
      <c r="A7" t="inlineStr">
        <is>
          <t>rows_reviewed</t>
        </is>
      </c>
      <c r="B7" s="9">
        <f>COUNTIF(tblLoans[Status],"REVIEWED")</f>
        <v/>
      </c>
    </row>
    <row r="8">
      <c r="A8" t="inlineStr">
        <is>
          <t>COMPLYING</t>
        </is>
      </c>
      <c r="B8" s="9">
        <f>COUNTIF(tblLoans[Gate_verdict],"COMPLYING")</f>
        <v/>
      </c>
    </row>
    <row r="9">
      <c r="A9" t="inlineStr">
        <is>
          <t>NOT_COMPLYING</t>
        </is>
      </c>
      <c r="B9" s="9">
        <f>COUNTIF(tblLoans[Gate_verdict],"NOT_COMPLYING")</f>
        <v/>
      </c>
    </row>
    <row r="10">
      <c r="A10" t="inlineStr">
        <is>
          <t>MYR_MET</t>
        </is>
      </c>
      <c r="B10" s="9">
        <f>COUNTIF(tblLoans[MYR_verdict],"MYR_MET")</f>
        <v/>
      </c>
    </row>
    <row r="11">
      <c r="A11" t="inlineStr">
        <is>
          <t>MYR_SHORT</t>
        </is>
      </c>
      <c r="B11" s="9">
        <f>COUNTIF(tblLoans[MYR_verdict],"MYR_SHORT")</f>
        <v/>
      </c>
    </row>
    <row r="12">
      <c r="A12" t="inlineStr">
        <is>
          <t>UNKNOWN</t>
        </is>
      </c>
      <c r="B12" s="9">
        <f>SUM(tblLoans[Undecided])</f>
        <v/>
      </c>
    </row>
    <row r="13">
      <c r="A13" t="inlineStr">
        <is>
          <t>REFUSED</t>
        </is>
      </c>
      <c r="B13" s="9">
        <f>COUNTIF(tblLoans[MYR_verdict],"REFUSED")</f>
        <v/>
      </c>
    </row>
    <row r="14">
      <c r="A14" t="inlineStr">
        <is>
          <t>SKIPPED</t>
        </is>
      </c>
      <c r="B14" s="9">
        <f>COUNTIF(tblLoans[Status],"SKIPPED")</f>
        <v/>
      </c>
    </row>
    <row r="15">
      <c r="A15" t="inlineStr">
        <is>
          <t>experimental_total_exposure</t>
        </is>
      </c>
      <c r="B15" s="10">
        <f>SUM(tblLoans[Exposure])</f>
        <v/>
      </c>
    </row>
    <row r="17">
      <c r="A17" t="inlineStr">
        <is>
          <t>Overall status</t>
        </is>
      </c>
      <c r="B17" s="13">
        <f>'Review Checks'!B10</f>
        <v/>
      </c>
    </row>
  </sheetData>
  <sheetProtection selectLockedCells="0" selectUnlockedCells="0" sheet="1" objects="0" insertRows="1" insertHyperlinks="1" autoFilter="1" scenarios="0" formatColumns="1" deleteColumns="1" insertColumns="1" pivotTables="1" deleteRows="1" formatCells="1" formatRows="1" sort="1"/>
  <conditionalFormatting sqref="B17">
    <cfRule type="cellIs" priority="1" operator="equal" dxfId="0">
      <formula>"BLOCKED"</formula>
    </cfRule>
    <cfRule type="cellIs" priority="2" operator="equal" dxfId="1">
      <formula>"REVIEW"</formula>
    </cfRule>
    <cfRule type="cellIs" priority="3" operator="equal" dxfId="2">
      <formula>"PASS"</formula>
    </cfRule>
  </conditionalFormatting>
  <dataValidations count="1">
    <dataValidation sqref="B2" showDropDown="0" showInputMessage="0" showErrorMessage="0" allowBlank="0" type="list">
      <formula1>RateYears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0" customWidth="1" min="1" max="1"/>
    <col width="12" customWidth="1" min="2" max="2"/>
    <col width="16" customWidth="1" min="3" max="3"/>
    <col width="16" customWidth="1" min="4" max="4"/>
  </cols>
  <sheetData>
    <row r="1">
      <c r="A1" s="5" t="inlineStr">
        <is>
          <t>Check</t>
        </is>
      </c>
      <c r="B1" s="5" t="inlineStr">
        <is>
          <t>Result</t>
        </is>
      </c>
      <c r="C1" s="5" t="inlineStr">
        <is>
          <t>Count or value</t>
        </is>
      </c>
      <c r="D1" s="5" t="inlineStr">
        <is>
          <t>Example loan</t>
        </is>
      </c>
    </row>
    <row r="2">
      <c r="A2" t="inlineStr">
        <is>
          <t>Every register value can be read</t>
        </is>
      </c>
      <c r="B2" s="9">
        <f>IF(C2=0,"PASS","BLOCKED")</f>
        <v/>
      </c>
      <c r="C2" s="9">
        <f>SUMPRODUCT(--(tblLoans[Input_problem]&lt;&gt;""))</f>
        <v/>
      </c>
      <c r="D2" s="9">
        <f t="array" ref="D2">IF(C2=0,"",INDEX(tblLoans[loan_id],SUMPRODUCT(MAX((tblLoans[Input_problem]&lt;&gt;"")*(ROW(tblLoans[loan_id])-1)))))</f>
        <v/>
      </c>
    </row>
    <row r="3">
      <c r="A3" t="inlineStr">
        <is>
          <t>No formula in an input cell</t>
        </is>
      </c>
      <c r="B3" s="9">
        <f>IF(C3=0,"PASS","BLOCKED")</f>
        <v/>
      </c>
      <c r="C3" s="9">
        <f>SUM(tblLoans[Guard])</f>
        <v/>
      </c>
      <c r="D3" s="9">
        <f t="array" ref="D3">IF(C3=0,"",INDEX(tblLoans[loan_id],SUMPRODUCT(MAX((tblLoans[Guard]=1)*(ROW(tblLoans[loan_id])-1)))))</f>
        <v/>
      </c>
    </row>
    <row r="4">
      <c r="A4" t="inlineStr">
        <is>
          <t>A reviewed benchmark exists, rate years are unique and rates are from zero to one</t>
        </is>
      </c>
      <c r="B4" s="9">
        <f>IFERROR(IF(AND(ISNUMBER(Summary!B3),COUNT(tblRates[rate])=ROWS(tblRates[rate]),SUMPRODUCT(--(COUNTIF(tblRates[year_of_income],tblRates[year_of_income])&lt;&gt;1))=0,MIN(tblRates[rate])&gt;=0,MAX(tblRates[rate])&lt;=1),"PASS","BLOCKED"),"BLOCKED")</f>
        <v/>
      </c>
      <c r="C4" s="9">
        <f>Summary!B2</f>
        <v/>
      </c>
      <c r="D4" s="9" t="n"/>
    </row>
    <row r="5">
      <c r="A5" t="inlineStr">
        <is>
          <t>Every reviewed loan is on s 109N terms</t>
        </is>
      </c>
      <c r="B5" s="9">
        <f>IF(C5=0,"PASS","REVIEW")</f>
        <v/>
      </c>
      <c r="C5" s="9">
        <f>COUNTIF(tblLoans[Gate_verdict],"NOT_COMPLYING")</f>
        <v/>
      </c>
      <c r="D5" s="9">
        <f t="array" ref="D5">IF(C5=0,"",INDEX(tblLoans[loan_id],SUMPRODUCT(MAX((tblLoans[Gate_verdict]="NOT_COMPLYING")*(ROW(tblLoans[loan_id])-1)))))</f>
        <v/>
      </c>
    </row>
    <row r="6">
      <c r="A6" t="inlineStr">
        <is>
          <t>No minimum yearly repayment is short</t>
        </is>
      </c>
      <c r="B6" s="9">
        <f>IF(C6=0,"PASS","REVIEW")</f>
        <v/>
      </c>
      <c r="C6" s="9">
        <f>COUNTIF(tblLoans[MYR_verdict],"MYR_SHORT")</f>
        <v/>
      </c>
      <c r="D6" s="9">
        <f t="array" ref="D6">IF(C6=0,"",INDEX(tblLoans[loan_id],SUMPRODUCT(MAX((tblLoans[MYR_verdict]="MYR_SHORT")*(ROW(tblLoans[loan_id])-1)))))</f>
        <v/>
      </c>
    </row>
    <row r="7">
      <c r="A7" t="inlineStr">
        <is>
          <t>No row is undecided (UNKNOWN)</t>
        </is>
      </c>
      <c r="B7" s="9">
        <f>IF(C7=0,"PASS","REVIEW")</f>
        <v/>
      </c>
      <c r="C7" s="9">
        <f>SUM(tblLoans[Undecided])</f>
        <v/>
      </c>
      <c r="D7" s="9">
        <f t="array" ref="D7">IF(C7=0,"",INDEX(tblLoans[loan_id],SUMPRODUCT(MAX((tblLoans[Undecided]=1)*(ROW(tblLoans[loan_id])-1)))))</f>
        <v/>
      </c>
    </row>
    <row r="8">
      <c r="A8" t="inlineStr">
        <is>
          <t>Rows refused a repayment figure (read the reason; not a breach by itself)</t>
        </is>
      </c>
      <c r="B8" s="9">
        <f>IF(C8=0,"PASS","REVIEW")</f>
        <v/>
      </c>
      <c r="C8" s="9">
        <f>COUNTIF(tblLoans[MYR_verdict],"REFUSED")</f>
        <v/>
      </c>
      <c r="D8" s="9">
        <f t="array" ref="D8">IF(C8=0,"",INDEX(tblLoans[loan_id],SUMPRODUCT(MAX((tblLoans[MYR_verdict]="REFUSED")*(ROW(tblLoans[loan_id])-1)))))</f>
        <v/>
      </c>
    </row>
    <row r="9">
      <c r="A9" t="inlineStr">
        <is>
          <t>No fabricated example loan from the shipped sample remains in the register</t>
        </is>
      </c>
      <c r="B9" s="9">
        <f>IF(C9=0,"PASS","REVIEW")</f>
        <v/>
      </c>
      <c r="C9" s="9">
        <f>SUM(tblLoans[Sample_row])</f>
        <v/>
      </c>
      <c r="D9" s="9">
        <f t="array" ref="D9">IF(C9=0,"",INDEX(tblLoans[loan_id],SUMPRODUCT(MAX((tblLoans[Sample_row]=1)*(ROW(tblLoans[loan_id])-1)))))</f>
        <v/>
      </c>
    </row>
    <row r="10">
      <c r="A10" s="3" t="inlineStr">
        <is>
          <t>Overall status</t>
        </is>
      </c>
      <c r="B10" s="13">
        <f>IF(COUNTIF(B2:B9,"BLOCKED")&gt;0,"BLOCKED",IF(COUNTIF(B2:B9,"REVIEW")&gt;0,"REVIEW","PASS"))</f>
        <v/>
      </c>
    </row>
    <row r="12">
      <c r="A12" s="5" t="inlineStr">
        <is>
          <t>Caveats the engine attaches to every result</t>
        </is>
      </c>
    </row>
    <row r="13" ht="135" customHeight="1">
      <c r="A13" s="14" t="inlineStr">
        <is>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is>
      </c>
    </row>
    <row r="14">
      <c r="A14" s="14" t="inlineStr">
        <is>
          <t>s 109R: the workbook does not decide whether the payments applied are genuine repayments. The figure used is the operator's assertion.</t>
        </is>
      </c>
    </row>
    <row r="15">
      <c r="A15" s="14" t="inlineStr">
        <is>
          <t>Any shortfall shown is an experimental review aid, not an ATO assessment and not a s 109E(1) determination. s 109E(2) makes the dividend the shortfall subject to s 109Y, and s 109E(1)(d) removes it where s 109Q applies. Neither is modelled, nor is s 109RB.</t>
        </is>
      </c>
    </row>
    <row r="16">
      <c r="A16" s="14" t="inlineStr">
        <is>
          <t>The s 109E(6) amount is rounded to cents half up. The Act prescribes no rounding; this is the engine's documented choice. A fractional remaining term is rounded up to a whole number under the closing words of s 109E(6).</t>
        </is>
      </c>
    </row>
    <row r="17">
      <c r="A17" s="14" t="inlineStr">
        <is>
          <t>A loan year before 1998-99 is skipped: Division 7A reaches a loan made before 4 December 1997 only where its terms were varied on or after that day (s 109D(5)).</t>
        </is>
      </c>
    </row>
  </sheetData>
  <sheetProtection selectLockedCells="0" selectUnlockedCells="0" sheet="1" objects="0" insertRows="1" insertHyperlinks="1" autoFilter="1" scenarios="0" formatColumns="1" deleteColumns="1" insertColumns="1" pivotTables="1" deleteRows="1" formatCells="1" formatRows="1" sort="1"/>
  <conditionalFormatting sqref="B2:B10">
    <cfRule type="cellIs" priority="1" operator="equal" dxfId="0">
      <formula>"BLOCKED"</formula>
    </cfRule>
    <cfRule type="cellIs" priority="2" operator="equal" dxfId="1">
      <formula>"REVIEW"</formula>
    </cfRule>
    <cfRule type="cellIs" priority="3" operator="equal" dxfId="2">
      <formula>"PASS"</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52" customWidth="1" min="1" max="1"/>
    <col width="110" customWidth="1" min="2" max="2"/>
  </cols>
  <sheetData>
    <row r="1">
      <c r="A1" s="5" t="inlineStr">
        <is>
          <t>Item</t>
        </is>
      </c>
      <c r="B1" s="5" t="inlineStr">
        <is>
          <t>Value</t>
        </is>
      </c>
    </row>
    <row r="2">
      <c r="A2" t="inlineStr">
        <is>
          <t>Workbook engine version</t>
        </is>
      </c>
      <c r="B2" t="inlineStr">
        <is>
          <t>0.2.0</t>
        </is>
      </c>
    </row>
    <row r="3">
      <c r="A3" t="inlineStr">
        <is>
          <t>Desktop Excel build used to calculate cached values</t>
        </is>
      </c>
      <c r="B3" t="inlineStr"/>
    </row>
    <row r="4">
      <c r="A4" t="inlineStr">
        <is>
          <t>Law</t>
        </is>
      </c>
      <c r="B4" t="inlineStr">
        <is>
          <t>Income Tax Assessment Act 1936 (Cth) Part III Division 7A, C1936A00027, compilation in force 1 July 2026: s 109D, 109E, 109N, 109P, 109R</t>
        </is>
      </c>
    </row>
    <row r="5">
      <c r="A5" t="inlineStr">
        <is>
          <t>Law source</t>
        </is>
      </c>
      <c r="B5" t="inlineStr">
        <is>
          <t>https://www.legislation.gov.au/C1936A00027/2026-07-01/text</t>
        </is>
      </c>
    </row>
    <row r="6">
      <c r="A6" t="inlineStr">
        <is>
          <t>Benchmark rates</t>
        </is>
      </c>
      <c r="B6" t="inlineStr">
        <is>
          <t>RBA statistical table F5 Indicator Lending Rates, series FILRHLBVS, May figure for each year of income (s 109N(2))</t>
        </is>
      </c>
    </row>
    <row r="7">
      <c r="A7" t="inlineStr">
        <is>
          <t>Rates reviewed until</t>
        </is>
      </c>
      <c r="B7" t="inlineStr">
        <is>
          <t>2026-27</t>
        </is>
      </c>
    </row>
    <row r="8">
      <c r="A8" t="inlineStr">
        <is>
          <t>Rates reviewed on</t>
        </is>
      </c>
      <c r="B8" t="inlineStr">
        <is>
          <t>2026-08-28</t>
        </is>
      </c>
    </row>
    <row r="9">
      <c r="A9" t="inlineStr">
        <is>
          <t>Rates explainer</t>
        </is>
      </c>
      <c r="B9" t="inlineStr">
        <is>
          <t>https://duguid.com.au/rates/div7a-benchmark-rate/</t>
        </is>
      </c>
    </row>
    <row r="10">
      <c r="A10" t="inlineStr">
        <is>
          <t>Disclaimer</t>
        </is>
      </c>
      <c r="B10" t="inlineStr">
        <is>
          <t>Experimental review aid. Not a Division 7A determination, not an ATO assessment, and not tax, legal or financial advice.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2026-10-06T11:45:48Z</dcterms:created>
  <dcterms:modified xsi:type="dcterms:W3CDTF">2026-10-06T11:45:48Z</dcterms:modified>
</cp:coreProperties>
</file>