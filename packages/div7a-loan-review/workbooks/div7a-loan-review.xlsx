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3_ncr:1_{BC695714-6E02-41E0-84D9-6326A54871BA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AI9" i="2"/>
  <c r="AH9" i="2"/>
  <c r="U9" i="2"/>
  <c r="V9" i="2" s="1"/>
  <c r="W9" i="2" s="1"/>
  <c r="S9" i="2"/>
  <c r="R9" i="2"/>
  <c r="P9" i="2"/>
  <c r="Q9" i="2" s="1"/>
  <c r="T9" i="2" s="1"/>
  <c r="O9" i="2"/>
  <c r="AI8" i="2"/>
  <c r="AH8" i="2"/>
  <c r="W8" i="2"/>
  <c r="U8" i="2"/>
  <c r="V8" i="2" s="1"/>
  <c r="T8" i="2"/>
  <c r="S8" i="2"/>
  <c r="R8" i="2"/>
  <c r="P8" i="2"/>
  <c r="Q8" i="2" s="1"/>
  <c r="O8" i="2"/>
  <c r="AI7" i="2"/>
  <c r="AH7" i="2"/>
  <c r="U7" i="2"/>
  <c r="V7" i="2" s="1"/>
  <c r="W7" i="2" s="1"/>
  <c r="S7" i="2"/>
  <c r="R7" i="2"/>
  <c r="P7" i="2"/>
  <c r="Q7" i="2" s="1"/>
  <c r="T7" i="2" s="1"/>
  <c r="O7" i="2"/>
  <c r="AI6" i="2"/>
  <c r="AH6" i="2"/>
  <c r="U6" i="2"/>
  <c r="V6" i="2" s="1"/>
  <c r="W6" i="2" s="1"/>
  <c r="S6" i="2"/>
  <c r="R6" i="2"/>
  <c r="P6" i="2"/>
  <c r="Q6" i="2" s="1"/>
  <c r="T6" i="2" s="1"/>
  <c r="O6" i="2"/>
  <c r="AI5" i="2"/>
  <c r="AH5" i="2"/>
  <c r="U5" i="2"/>
  <c r="V5" i="2" s="1"/>
  <c r="W5" i="2" s="1"/>
  <c r="S5" i="2"/>
  <c r="R5" i="2"/>
  <c r="P5" i="2"/>
  <c r="Q5" i="2" s="1"/>
  <c r="T5" i="2" s="1"/>
  <c r="O5" i="2"/>
  <c r="AI4" i="2"/>
  <c r="AH4" i="2"/>
  <c r="U4" i="2"/>
  <c r="V4" i="2" s="1"/>
  <c r="W4" i="2" s="1"/>
  <c r="S4" i="2"/>
  <c r="R4" i="2"/>
  <c r="P4" i="2"/>
  <c r="Q4" i="2" s="1"/>
  <c r="T4" i="2" s="1"/>
  <c r="O4" i="2"/>
  <c r="AI3" i="2"/>
  <c r="AH3" i="2"/>
  <c r="U3" i="2"/>
  <c r="V3" i="2" s="1"/>
  <c r="W3" i="2" s="1"/>
  <c r="S3" i="2"/>
  <c r="R3" i="2"/>
  <c r="P3" i="2"/>
  <c r="Q3" i="2" s="1"/>
  <c r="T3" i="2" s="1"/>
  <c r="O3" i="2"/>
  <c r="AI2" i="2"/>
  <c r="C2" i="5" s="1"/>
  <c r="AH2" i="2"/>
  <c r="C3" i="5" s="1"/>
  <c r="U2" i="2"/>
  <c r="V2" i="2" s="1"/>
  <c r="W2" i="2" s="1"/>
  <c r="S2" i="2"/>
  <c r="R2" i="2"/>
  <c r="P2" i="2"/>
  <c r="Q2" i="2" s="1"/>
  <c r="T2" i="2" s="1"/>
  <c r="O2" i="2"/>
  <c r="D3" i="5" l="1" a="1"/>
  <c r="D3" i="5" s="1"/>
  <c r="B3" i="5"/>
  <c r="AA4" i="2"/>
  <c r="AA2" i="2"/>
  <c r="B4" i="5"/>
  <c r="AA3" i="2"/>
  <c r="AB9" i="2"/>
  <c r="Z9" i="2"/>
  <c r="AA9" i="2" s="1"/>
  <c r="Y9" i="2"/>
  <c r="X9" i="2"/>
  <c r="AB8" i="2"/>
  <c r="Z8" i="2"/>
  <c r="AA8" i="2" s="1"/>
  <c r="Y8" i="2"/>
  <c r="X8" i="2"/>
  <c r="AG8" i="2" s="1"/>
  <c r="X7" i="2"/>
  <c r="Y7" i="2"/>
  <c r="Z7" i="2"/>
  <c r="AA7" i="2" s="1"/>
  <c r="AB7" i="2"/>
  <c r="Z6" i="2"/>
  <c r="AA6" i="2" s="1"/>
  <c r="Y6" i="2"/>
  <c r="X6" i="2"/>
  <c r="B7" i="4"/>
  <c r="B14" i="4"/>
  <c r="Z5" i="2"/>
  <c r="AA5" i="2" s="1"/>
  <c r="Y5" i="2"/>
  <c r="X5" i="2"/>
  <c r="Z4" i="2"/>
  <c r="Y4" i="2"/>
  <c r="X4" i="2"/>
  <c r="Z3" i="2"/>
  <c r="Y3" i="2"/>
  <c r="X3" i="2"/>
  <c r="B2" i="5"/>
  <c r="D2" i="5" a="1"/>
  <c r="D2" i="5" s="1"/>
  <c r="Z2" i="2"/>
  <c r="Y2" i="2"/>
  <c r="X2" i="2"/>
  <c r="AB2" i="2" s="1"/>
  <c r="AG2" i="2" s="1"/>
  <c r="AB4" i="2" l="1"/>
  <c r="AG9" i="2"/>
  <c r="AG7" i="2"/>
  <c r="AC9" i="2"/>
  <c r="AD9" i="2"/>
  <c r="AE9" i="2"/>
  <c r="AF9" i="2"/>
  <c r="AC8" i="2"/>
  <c r="AD8" i="2"/>
  <c r="AE8" i="2"/>
  <c r="AF8" i="2"/>
  <c r="AC7" i="2"/>
  <c r="AD7" i="2"/>
  <c r="AE7" i="2"/>
  <c r="AF7" i="2"/>
  <c r="AD2" i="2"/>
  <c r="AC2" i="2"/>
  <c r="AE2" i="2"/>
  <c r="AF2" i="2" s="1"/>
  <c r="B8" i="4"/>
  <c r="B9" i="4"/>
  <c r="C5" i="5"/>
  <c r="AB6" i="2"/>
  <c r="AG6" i="2" s="1"/>
  <c r="AB5" i="2"/>
  <c r="AB3" i="2"/>
  <c r="AG3" i="2" s="1"/>
  <c r="AG4" i="2" l="1"/>
  <c r="AC4" i="2"/>
  <c r="AD4" i="2"/>
  <c r="AE4" i="2"/>
  <c r="AF4" i="2"/>
  <c r="D5" i="5" a="1"/>
  <c r="D5" i="5" s="1"/>
  <c r="B5" i="5"/>
  <c r="AF6" i="2"/>
  <c r="AE6" i="2"/>
  <c r="AD6" i="2"/>
  <c r="AC6" i="2"/>
  <c r="AF5" i="2"/>
  <c r="AE5" i="2"/>
  <c r="AD5" i="2"/>
  <c r="AC5" i="2"/>
  <c r="AF3" i="2"/>
  <c r="AE3" i="2"/>
  <c r="AD3" i="2"/>
  <c r="AC3" i="2"/>
  <c r="B13" i="4"/>
  <c r="B11" i="4"/>
  <c r="C6" i="5"/>
  <c r="AG5" i="2"/>
  <c r="B10" i="4"/>
  <c r="C8" i="5"/>
  <c r="D6" i="5" l="1" a="1"/>
  <c r="D6" i="5" s="1"/>
  <c r="B6" i="5"/>
  <c r="C7" i="5"/>
  <c r="B12" i="4"/>
  <c r="D8" i="5" a="1"/>
  <c r="D8" i="5" s="1"/>
  <c r="B8" i="5"/>
  <c r="B15" i="4"/>
  <c r="B7" i="5" l="1"/>
  <c r="B10" i="5" s="1"/>
  <c r="D7" i="5" a="1"/>
  <c r="D7" i="5" s="1"/>
  <c r="B17" i="4" l="1"/>
  <c r="A11" i="1"/>
</calcChain>
</file>

<file path=xl/sharedStrings.xml><?xml version="1.0" encoding="utf-8"?>
<sst xmlns="http://schemas.openxmlformats.org/spreadsheetml/2006/main" count="216" uniqueCount="149">
  <si>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</si>
  <si>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</si>
  <si>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</si>
  <si>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</si>
  <si>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or a row is undecided.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</si>
  <si>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</si>
  <si>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</si>
  <si>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</si>
  <si>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0.1.1.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</si>
  <si>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</si>
  <si>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</si>
  <si>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</si>
  <si>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</si>
  <si>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</si>
  <si>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</si>
  <si>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</si>
  <si>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</si>
  <si>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</si>
  <si>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</si>
  <si>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</si>
  <si>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</si>
  <si>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</si>
  <si>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</si>
  <si>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</si>
  <si>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</si>
  <si>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</si>
  <si>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</si>
  <si>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</si>
  <si>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</si>
  <si>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</si>
  <si>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</si>
  <si>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</si>
  <si>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</si>
  <si>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</si>
  <si>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</si>
  <si>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</si>
  <si>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</si>
  <si>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</si>
  <si>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</si>
  <si>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</si>
  <si>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</si>
  <si>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</si>
  <si>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</si>
  <si>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</si>
  <si>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</si>
  <si>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</si>
  <si>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</si>
  <si>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</si>
  <si>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</si>
  <si>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</si>
  <si>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</si>
  <si>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</si>
  <si>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</si>
  <si>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</si>
  <si>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</si>
  <si>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</si>
  <si>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</si>
  <si>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</si>
  <si>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</si>
  <si>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</si>
  <si>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</si>
  <si>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</si>
  <si>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</si>
  <si>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</si>
  <si>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</si>
  <si>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</si>
  <si>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</si>
  <si>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</si>
  <si>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</si>
  <si>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</si>
  <si>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</si>
  <si>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</si>
  <si>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</si>
  <si>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</si>
  <si>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</si>
  <si>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</si>
  <si>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</si>
  <si>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</si>
  <si>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</si>
  <si>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</si>
  <si>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</si>
  <si>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</si>
  <si>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</si>
  <si>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</si>
  <si>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</si>
  <si>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</si>
  <si>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</si>
  <si>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</si>
  <si>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</si>
  <si>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</si>
  <si>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</si>
  <si>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</si>
  <si>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</si>
  <si>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</si>
  <si>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</si>
  <si>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</si>
  <si>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</si>
  <si>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</si>
  <si>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</si>
  <si>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</si>
  <si>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</si>
  <si>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</si>
  <si>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</si>
  <si>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</si>
  <si>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</si>
  <si>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</si>
  <si>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</si>
  <si>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</si>
  <si>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</si>
  <si>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</si>
  <si>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</si>
  <si>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</si>
  <si>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</si>
  <si>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</si>
  <si>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</si>
  <si>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</si>
  <si>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</si>
  <si>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</si>
  <si>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</si>
  <si>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</si>
  <si>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</si>
  <si>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</si>
  <si>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</si>
  <si>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</si>
  <si>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</si>
  <si>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</si>
  <si>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</si>
  <si>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</si>
  <si>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</si>
  <si>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</si>
  <si>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</si>
  <si>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</si>
  <si>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</si>
  <si>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</si>
  <si>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0.1.1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</si>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</sst>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I9">
  <tableColumns count="35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IF(NOT(OR(LOWER(TRIM(tblLoans[[#This Row],[out_of_scope_reason]]&amp;""))={"","-","?","n/a","na","unk","unknown"})),"SKIPPED",IF(IFERROR(VALUE(LEFT(tblLoans[[#This Row],[year_loan_made]],4))&lt;1998,FALSE),"SKIPPED","REVIEWED"))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Row],[year_of_income_being_tested]]&amp;""))={"","-","?","n/a","na","unk","unknown"}),tblLoans[[#This Row],[year_loan_made]]&amp;"",tblLoans[[#This Row],[year_of_income_being_tested]]&amp;"")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5" width="12" customWidth="1"/>
  </cols>
  <sheetData>
    <row r="1" spans="1:35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</row>
    <row r="2" spans="1:35" x14ac:dyDescent="0.25">
      <c r="A2" s="6" t="s">
        <v>44</v>
      </c>
      <c r="B2" s="6" t="s">
        <v>45</v>
      </c>
      <c r="C2" s="6" t="s">
        <v>46</v>
      </c>
      <c r="D2" s="7" t="s">
        <v>47</v>
      </c>
      <c r="E2" s="7" t="s">
        <v>47</v>
      </c>
      <c r="F2" s="7">
        <v>7</v>
      </c>
      <c r="G2" s="7" t="s">
        <v>48</v>
      </c>
      <c r="H2" s="7" t="s">
        <v>49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2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3" spans="1:35" x14ac:dyDescent="0.25">
      <c r="A3" s="6" t="s">
        <v>50</v>
      </c>
      <c r="B3" s="6" t="s">
        <v>51</v>
      </c>
      <c r="C3" s="6" t="s">
        <v>52</v>
      </c>
      <c r="D3" s="7" t="s">
        <v>47</v>
      </c>
      <c r="E3" s="7" t="s">
        <v>47</v>
      </c>
      <c r="F3" s="7">
        <v>7</v>
      </c>
      <c r="G3" s="7" t="s">
        <v>48</v>
      </c>
      <c r="H3" s="7" t="s">
        <v>49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3" s="9" t="str">
        <f>IF(OR(LOWER(TRIM(tblLoans[[#This Row],[year_of_income_being_tested]]&amp;""))={"","-","?","n/a","na","unk","unknown"}),tblLoans[[#This Row],[year_loan_made]]&amp;"",tblLoans[[#This Row],[year_of_income_being_tested]]&amp;"")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4" spans="1:35" x14ac:dyDescent="0.25">
      <c r="A4" s="6" t="s">
        <v>53</v>
      </c>
      <c r="B4" s="6" t="s">
        <v>54</v>
      </c>
      <c r="C4" s="6" t="s">
        <v>55</v>
      </c>
      <c r="D4" s="7" t="s">
        <v>49</v>
      </c>
      <c r="E4" s="7" t="s">
        <v>47</v>
      </c>
      <c r="F4" s="7">
        <v>7</v>
      </c>
      <c r="G4" s="7" t="s">
        <v>48</v>
      </c>
      <c r="H4" s="7" t="s">
        <v>49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4" s="9" t="str">
        <f>IF(OR(LOWER(TRIM(tblLoans[[#This Row],[year_of_income_being_tested]]&amp;""))={"","-","?","n/a","na","unk","unknown"}),tblLoans[[#This Row],[year_loan_made]]&amp;"",tblLoans[[#This Row],[year_of_income_being_tested]]&amp;"")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5" spans="1:35" x14ac:dyDescent="0.25">
      <c r="A5" s="6" t="s">
        <v>56</v>
      </c>
      <c r="B5" s="6" t="s">
        <v>57</v>
      </c>
      <c r="C5" s="6" t="s">
        <v>58</v>
      </c>
      <c r="D5" s="7" t="s">
        <v>47</v>
      </c>
      <c r="E5" s="7" t="s">
        <v>47</v>
      </c>
      <c r="F5" s="7">
        <v>7</v>
      </c>
      <c r="G5" s="7" t="s">
        <v>48</v>
      </c>
      <c r="H5" s="7" t="s">
        <v>49</v>
      </c>
      <c r="I5" s="7">
        <v>8.77E-2</v>
      </c>
      <c r="J5" s="8">
        <v>88000</v>
      </c>
      <c r="K5" s="7">
        <v>5</v>
      </c>
      <c r="L5" s="8" t="s">
        <v>49</v>
      </c>
      <c r="M5" s="6"/>
      <c r="N5" s="6"/>
      <c r="O5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5" s="9" t="str">
        <f>IF(OR(LOWER(TRIM(tblLoans[[#This Row],[year_of_income_being_tested]]&amp;""))={"","-","?","n/a","na","unk","unknown"}),tblLoans[[#This Row],[year_loan_made]]&amp;"",tblLoans[[#This Row],[year_of_income_being_tested]]&amp;"")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6" spans="1:35" x14ac:dyDescent="0.25">
      <c r="A6" s="6" t="s">
        <v>59</v>
      </c>
      <c r="B6" s="6" t="s">
        <v>60</v>
      </c>
      <c r="C6" s="6" t="s">
        <v>61</v>
      </c>
      <c r="D6" s="7" t="s">
        <v>47</v>
      </c>
      <c r="E6" s="7" t="s">
        <v>47</v>
      </c>
      <c r="F6" s="7">
        <v>7</v>
      </c>
      <c r="G6" s="7" t="s">
        <v>48</v>
      </c>
      <c r="H6" s="7" t="s">
        <v>49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6" s="9" t="str">
        <f>IF(OR(LOWER(TRIM(tblLoans[[#This Row],[year_of_income_being_tested]]&amp;""))={"","-","?","n/a","na","unk","unknown"}),tblLoans[[#This Row],[year_loan_made]]&amp;"",tblLoans[[#This Row],[year_of_income_being_tested]]&amp;"")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7" spans="1:35" x14ac:dyDescent="0.25">
      <c r="A7" s="6" t="s">
        <v>62</v>
      </c>
      <c r="B7" s="6" t="s">
        <v>63</v>
      </c>
      <c r="C7" s="6" t="s">
        <v>64</v>
      </c>
      <c r="D7" s="7" t="s">
        <v>47</v>
      </c>
      <c r="E7" s="7" t="s">
        <v>47</v>
      </c>
      <c r="F7" s="7">
        <v>25</v>
      </c>
      <c r="G7" s="7" t="s">
        <v>47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7" s="9" t="str">
        <f>IF(OR(LOWER(TRIM(tblLoans[[#This Row],[year_of_income_being_tested]]&amp;""))={"","-","?","n/a","na","unk","unknown"}),tblLoans[[#This Row],[year_loan_made]]&amp;"",tblLoans[[#This Row],[year_of_income_being_tested]]&amp;"")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8" spans="1:35" x14ac:dyDescent="0.25">
      <c r="A8" s="6" t="s">
        <v>65</v>
      </c>
      <c r="B8" s="6" t="s">
        <v>66</v>
      </c>
      <c r="C8" s="6" t="s">
        <v>46</v>
      </c>
      <c r="D8" s="7" t="s">
        <v>49</v>
      </c>
      <c r="E8" s="7" t="s">
        <v>49</v>
      </c>
      <c r="F8" s="7" t="s">
        <v>49</v>
      </c>
      <c r="G8" s="7" t="s">
        <v>49</v>
      </c>
      <c r="H8" s="7" t="s">
        <v>49</v>
      </c>
      <c r="I8" s="7" t="s">
        <v>49</v>
      </c>
      <c r="J8" s="8" t="s">
        <v>49</v>
      </c>
      <c r="K8" s="7" t="s">
        <v>49</v>
      </c>
      <c r="L8" s="8" t="s">
        <v>49</v>
      </c>
      <c r="M8" s="6" t="s">
        <v>67</v>
      </c>
      <c r="N8" s="6"/>
      <c r="O8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8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  <row r="9" spans="1:35" x14ac:dyDescent="0.25">
      <c r="A9" s="6" t="s">
        <v>68</v>
      </c>
      <c r="B9" s="6" t="s">
        <v>69</v>
      </c>
      <c r="C9" s="6" t="s">
        <v>70</v>
      </c>
      <c r="D9" s="7" t="s">
        <v>47</v>
      </c>
      <c r="E9" s="7" t="s">
        <v>47</v>
      </c>
      <c r="F9" s="7">
        <v>7</v>
      </c>
      <c r="G9" s="7" t="s">
        <v>48</v>
      </c>
      <c r="H9" s="7" t="s">
        <v>49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9" s="9" t="str">
        <f>IF(OR(LOWER(TRIM(tblLoans[[#This Row],[year_of_income_being_tested]]&amp;""))={"","-","?","n/a","na","unk","unknown"}),tblLoans[[#This Row],[year_loan_made]]&amp;"",tblLoans[[#This Row],[year_of_income_being_tested]]&amp;"")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rate")))),IF(tblLoans[[#This Row],[MYR_verdict]]="UNKNOWN",IF(NOT(ISNUMBER(Summary!$B$3)),"no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</row>
    <row r="2" spans="1:7" x14ac:dyDescent="0.25">
      <c r="A2" s="6" t="s">
        <v>61</v>
      </c>
      <c r="B2" s="7">
        <v>5.3699999999999998E-2</v>
      </c>
      <c r="C2" s="7" t="s">
        <v>78</v>
      </c>
      <c r="D2" s="7" t="s">
        <v>79</v>
      </c>
      <c r="E2" s="7" t="s">
        <v>80</v>
      </c>
      <c r="F2" s="7" t="s">
        <v>81</v>
      </c>
      <c r="G2" s="7" t="s">
        <v>82</v>
      </c>
    </row>
    <row r="3" spans="1:7" x14ac:dyDescent="0.25">
      <c r="A3" s="6" t="s">
        <v>64</v>
      </c>
      <c r="B3" s="7">
        <v>4.5199999999999997E-2</v>
      </c>
      <c r="C3" s="7" t="s">
        <v>78</v>
      </c>
      <c r="D3" s="7" t="s">
        <v>79</v>
      </c>
      <c r="E3" s="7" t="s">
        <v>83</v>
      </c>
      <c r="F3" s="7" t="s">
        <v>84</v>
      </c>
      <c r="G3" s="7" t="s">
        <v>82</v>
      </c>
    </row>
    <row r="4" spans="1:7" x14ac:dyDescent="0.25">
      <c r="A4" s="6" t="s">
        <v>55</v>
      </c>
      <c r="B4" s="7">
        <v>4.5199999999999997E-2</v>
      </c>
      <c r="C4" s="7" t="s">
        <v>78</v>
      </c>
      <c r="D4" s="7" t="s">
        <v>79</v>
      </c>
      <c r="E4" s="7" t="s">
        <v>85</v>
      </c>
      <c r="F4" s="7" t="s">
        <v>86</v>
      </c>
      <c r="G4" s="7" t="s">
        <v>82</v>
      </c>
    </row>
    <row r="5" spans="1:7" x14ac:dyDescent="0.25">
      <c r="A5" s="6" t="s">
        <v>52</v>
      </c>
      <c r="B5" s="7">
        <v>4.7699999999999999E-2</v>
      </c>
      <c r="C5" s="7" t="s">
        <v>78</v>
      </c>
      <c r="D5" s="7" t="s">
        <v>79</v>
      </c>
      <c r="E5" s="7" t="s">
        <v>87</v>
      </c>
      <c r="F5" s="7" t="s">
        <v>88</v>
      </c>
      <c r="G5" s="7" t="s">
        <v>82</v>
      </c>
    </row>
    <row r="6" spans="1:7" x14ac:dyDescent="0.25">
      <c r="A6" s="6" t="s">
        <v>46</v>
      </c>
      <c r="B6" s="7">
        <v>8.2699999999999996E-2</v>
      </c>
      <c r="C6" s="7" t="s">
        <v>78</v>
      </c>
      <c r="D6" s="7" t="s">
        <v>79</v>
      </c>
      <c r="E6" s="7" t="s">
        <v>89</v>
      </c>
      <c r="F6" s="7" t="s">
        <v>90</v>
      </c>
      <c r="G6" s="7" t="s">
        <v>82</v>
      </c>
    </row>
    <row r="7" spans="1:7" x14ac:dyDescent="0.25">
      <c r="A7" s="6" t="s">
        <v>58</v>
      </c>
      <c r="B7" s="7">
        <v>8.77E-2</v>
      </c>
      <c r="C7" s="7" t="s">
        <v>78</v>
      </c>
      <c r="D7" s="7" t="s">
        <v>79</v>
      </c>
      <c r="E7" s="7" t="s">
        <v>91</v>
      </c>
      <c r="F7" s="7" t="s">
        <v>92</v>
      </c>
      <c r="G7" s="7" t="s">
        <v>82</v>
      </c>
    </row>
    <row r="8" spans="1:7" x14ac:dyDescent="0.25">
      <c r="A8" s="6" t="s">
        <v>93</v>
      </c>
      <c r="B8" s="7">
        <v>8.3699999999999997E-2</v>
      </c>
      <c r="C8" s="7" t="s">
        <v>78</v>
      </c>
      <c r="D8" s="7" t="s">
        <v>79</v>
      </c>
      <c r="E8" s="7" t="s">
        <v>94</v>
      </c>
      <c r="F8" s="7" t="s">
        <v>95</v>
      </c>
      <c r="G8" s="7" t="s">
        <v>82</v>
      </c>
    </row>
    <row r="9" spans="1:7" x14ac:dyDescent="0.25">
      <c r="A9" s="6" t="s">
        <v>96</v>
      </c>
      <c r="B9" s="7">
        <v>8.77E-2</v>
      </c>
      <c r="C9" s="7" t="s">
        <v>78</v>
      </c>
      <c r="D9" s="7" t="s">
        <v>79</v>
      </c>
      <c r="E9" s="7" t="s">
        <v>97</v>
      </c>
      <c r="F9" s="7" t="s">
        <v>98</v>
      </c>
      <c r="G9" s="7" t="s">
        <v>82</v>
      </c>
    </row>
    <row r="12" spans="1:7" x14ac:dyDescent="0.25">
      <c r="A12" t="s">
        <v>99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100</v>
      </c>
      <c r="B1" s="5"/>
    </row>
    <row r="2" spans="1:2" x14ac:dyDescent="0.25">
      <c r="A2" t="s">
        <v>101</v>
      </c>
      <c r="B2" s="11" t="s">
        <v>96</v>
      </c>
    </row>
    <row r="3" spans="1:2" x14ac:dyDescent="0.25">
      <c r="A3" t="s">
        <v>102</v>
      </c>
      <c r="B3" s="12">
        <f>IFERROR(INDEX(tblRates[rate],MATCH(B2,tblRates[year_of_income],0)),"")</f>
        <v>8.77E-2</v>
      </c>
    </row>
    <row r="4" spans="1:2" x14ac:dyDescent="0.25">
      <c r="A4" t="s">
        <v>103</v>
      </c>
      <c r="B4" s="9">
        <f>IFERROR(VALUE(LEFT(B2,4)),"")</f>
        <v>2026</v>
      </c>
    </row>
    <row r="6" spans="1:2" x14ac:dyDescent="0.25">
      <c r="A6" s="5" t="s">
        <v>104</v>
      </c>
      <c r="B6" s="5"/>
    </row>
    <row r="7" spans="1:2" x14ac:dyDescent="0.25">
      <c r="A7" t="s">
        <v>105</v>
      </c>
      <c r="B7" s="9">
        <f>COUNTIF(tblLoans[Status],"REVIEWED")</f>
        <v>6</v>
      </c>
    </row>
    <row r="8" spans="1:2" x14ac:dyDescent="0.25">
      <c r="A8" t="s">
        <v>106</v>
      </c>
      <c r="B8" s="9">
        <f>COUNTIF(tblLoans[Gate_verdict],"COMPLYING")</f>
        <v>3</v>
      </c>
    </row>
    <row r="9" spans="1:2" x14ac:dyDescent="0.25">
      <c r="A9" t="s">
        <v>107</v>
      </c>
      <c r="B9" s="9">
        <f>COUNTIF(tblLoans[Gate_verdict],"NOT_COMPLYING")</f>
        <v>2</v>
      </c>
    </row>
    <row r="10" spans="1:2" x14ac:dyDescent="0.25">
      <c r="A10" t="s">
        <v>108</v>
      </c>
      <c r="B10" s="9">
        <f>COUNTIF(tblLoans[MYR_verdict],"MYR_MET")</f>
        <v>0</v>
      </c>
    </row>
    <row r="11" spans="1:2" x14ac:dyDescent="0.25">
      <c r="A11" t="s">
        <v>109</v>
      </c>
      <c r="B11" s="9">
        <f>COUNTIF(tblLoans[MYR_verdict],"MYR_SHORT")</f>
        <v>1</v>
      </c>
    </row>
    <row r="12" spans="1:2" x14ac:dyDescent="0.25">
      <c r="A12" t="s">
        <v>110</v>
      </c>
      <c r="B12" s="9">
        <f>SUM(tblLoans[Undecided])</f>
        <v>2</v>
      </c>
    </row>
    <row r="13" spans="1:2" x14ac:dyDescent="0.25">
      <c r="A13" t="s">
        <v>111</v>
      </c>
      <c r="B13" s="9">
        <f>COUNTIF(tblLoans[MYR_verdict],"REFUSED")</f>
        <v>4</v>
      </c>
    </row>
    <row r="14" spans="1:2" x14ac:dyDescent="0.25">
      <c r="A14" t="s">
        <v>112</v>
      </c>
      <c r="B14" s="9">
        <f>COUNTIF(tblLoans[Status],"SKIPPED")</f>
        <v>2</v>
      </c>
    </row>
    <row r="15" spans="1:2" x14ac:dyDescent="0.25">
      <c r="A15" t="s">
        <v>113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114</v>
      </c>
      <c r="B1" s="5" t="s">
        <v>115</v>
      </c>
      <c r="C1" s="5" t="s">
        <v>116</v>
      </c>
      <c r="D1" s="5" t="s">
        <v>117</v>
      </c>
    </row>
    <row r="2" spans="1:4" x14ac:dyDescent="0.25">
      <c r="A2" t="s">
        <v>118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119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120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121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122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123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124</v>
      </c>
      <c r="B8" s="9" t="str">
        <f>IF(C8=0,"PASS","NOTE")</f>
        <v>NOTE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10" spans="1:4" x14ac:dyDescent="0.25">
      <c r="A10" s="3" t="s">
        <v>7</v>
      </c>
      <c r="B10" s="13" t="str">
        <f>IF(COUNTIF(B2:B8,"BLOCKED")&gt;0,"BLOCKED",IF(COUNTIF(B2:B8,"REVIEW")&gt;0,"REVIEW","PASS"))</f>
        <v>REVIEW</v>
      </c>
    </row>
    <row r="12" spans="1:4" x14ac:dyDescent="0.25">
      <c r="A12" s="5" t="s">
        <v>125</v>
      </c>
    </row>
    <row r="13" spans="1:4" ht="45" x14ac:dyDescent="0.25">
      <c r="A13" s="14" t="s">
        <v>126</v>
      </c>
    </row>
    <row r="14" spans="1:4" ht="30" x14ac:dyDescent="0.25">
      <c r="A14" s="14" t="s">
        <v>127</v>
      </c>
    </row>
    <row r="15" spans="1:4" ht="45" x14ac:dyDescent="0.25">
      <c r="A15" s="14" t="s">
        <v>128</v>
      </c>
    </row>
    <row r="16" spans="1:4" ht="45" x14ac:dyDescent="0.25">
      <c r="A16" s="14" t="s">
        <v>129</v>
      </c>
    </row>
    <row r="17" spans="1:1" ht="30" x14ac:dyDescent="0.25">
      <c r="A17" s="14" t="s">
        <v>130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131</v>
      </c>
      <c r="B1" s="5" t="s">
        <v>132</v>
      </c>
    </row>
    <row r="2" spans="1:2" x14ac:dyDescent="0.25">
      <c r="A2" t="s">
        <v>133</v>
      </c>
      <c r="B2" t="s">
        <v>134</v>
      </c>
    </row>
    <row r="3" spans="1:2" x14ac:dyDescent="0.25">
      <c r="A3" t="s">
        <v>135</v>
      </c>
      <c r="B3" t="s">
        <v>148</v>
      </c>
    </row>
    <row r="4" spans="1:2" x14ac:dyDescent="0.25">
      <c r="A4" t="s">
        <v>136</v>
      </c>
      <c r="B4" t="s">
        <v>137</v>
      </c>
    </row>
    <row r="5" spans="1:2" x14ac:dyDescent="0.25">
      <c r="A5" t="s">
        <v>138</v>
      </c>
      <c r="B5" t="s">
        <v>139</v>
      </c>
    </row>
    <row r="6" spans="1:2" x14ac:dyDescent="0.25">
      <c r="A6" t="s">
        <v>140</v>
      </c>
      <c r="B6" t="s">
        <v>141</v>
      </c>
    </row>
    <row r="7" spans="1:2" x14ac:dyDescent="0.25">
      <c r="A7" t="s">
        <v>142</v>
      </c>
      <c r="B7" t="s">
        <v>96</v>
      </c>
    </row>
    <row r="8" spans="1:2" x14ac:dyDescent="0.25">
      <c r="A8" t="s">
        <v>143</v>
      </c>
      <c r="B8" t="s">
        <v>82</v>
      </c>
    </row>
    <row r="9" spans="1:2" x14ac:dyDescent="0.25">
      <c r="A9" t="s">
        <v>144</v>
      </c>
      <c r="B9" t="s">
        <v>145</v>
      </c>
    </row>
    <row r="10" spans="1:2" x14ac:dyDescent="0.25">
      <c r="A10" t="s">
        <v>146</v>
      </c>
      <c r="B10" t="s">
        <v>147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2026-09-05T00:02:47Z</dcterms:created>
  <dcterms:modified xsi:type="dcterms:W3CDTF">2026-09-05T00:02:48Z</dcterms:modified>
</cp:coreProperties>
</file>