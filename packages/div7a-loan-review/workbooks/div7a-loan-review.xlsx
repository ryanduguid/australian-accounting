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8D8179E1-E57C-47CA-B358-F58A103316F5}" xr6:coauthVersionLast="47" xr6:coauthVersionMax="47" xr10:uidLastSave="{00000000-0000-0000-0000-000000000000}"/>
  <bookViews>
    <workbookView xWindow="3510" yWindow="3510" windowWidth="38700" windowHeight="15345" xr2:uid="{00000000-000D-0000-FFFF-FFFF00000000}"/>
  </bookViews>
  <sheets>
    <sheet name="Start Here" sheetId="1" r:id="rId1"/>
    <sheet name="Register" sheetId="2" r:id="rId2"/>
    <sheet name="Rates" sheetId="3" r:id="rId3"/>
    <sheet name="Summary" sheetId="4" r:id="rId4"/>
    <sheet name="Review Checks" sheetId="5" r:id="rId5"/>
    <sheet name="Sources &amp; Vers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4" i="4"/>
  <c r="B3" i="4"/>
  <c r="AJ9" i="2"/>
  <c r="AI9" i="2"/>
  <c r="AH9" i="2"/>
  <c r="U9" i="2"/>
  <c r="V9" i="2" s="1"/>
  <c r="W9" i="2" s="1"/>
  <c r="S9" i="2"/>
  <c r="R9" i="2"/>
  <c r="P9" i="2"/>
  <c r="Q9" i="2" s="1"/>
  <c r="T9" i="2" s="1"/>
  <c r="O9" i="2"/>
  <c r="AJ8" i="2"/>
  <c r="AI8" i="2"/>
  <c r="AH8" i="2"/>
  <c r="W8" i="2"/>
  <c r="U8" i="2"/>
  <c r="V8" i="2" s="1"/>
  <c r="T8" i="2"/>
  <c r="S8" i="2"/>
  <c r="R8" i="2"/>
  <c r="P8" i="2"/>
  <c r="Q8" i="2" s="1"/>
  <c r="O8" i="2"/>
  <c r="AJ7" i="2"/>
  <c r="AI7" i="2"/>
  <c r="AH7" i="2"/>
  <c r="U7" i="2"/>
  <c r="V7" i="2" s="1"/>
  <c r="W7" i="2" s="1"/>
  <c r="S7" i="2"/>
  <c r="R7" i="2"/>
  <c r="P7" i="2"/>
  <c r="Q7" i="2" s="1"/>
  <c r="T7" i="2" s="1"/>
  <c r="O7" i="2"/>
  <c r="AJ6" i="2"/>
  <c r="AI6" i="2"/>
  <c r="AH6" i="2"/>
  <c r="U6" i="2"/>
  <c r="V6" i="2" s="1"/>
  <c r="W6" i="2" s="1"/>
  <c r="S6" i="2"/>
  <c r="R6" i="2"/>
  <c r="P6" i="2"/>
  <c r="Q6" i="2" s="1"/>
  <c r="T6" i="2" s="1"/>
  <c r="O6" i="2"/>
  <c r="AJ5" i="2"/>
  <c r="AI5" i="2"/>
  <c r="AH5" i="2"/>
  <c r="U5" i="2"/>
  <c r="V5" i="2" s="1"/>
  <c r="W5" i="2" s="1"/>
  <c r="S5" i="2"/>
  <c r="R5" i="2"/>
  <c r="P5" i="2"/>
  <c r="Q5" i="2" s="1"/>
  <c r="T5" i="2" s="1"/>
  <c r="O5" i="2"/>
  <c r="AJ4" i="2"/>
  <c r="AI4" i="2"/>
  <c r="AH4" i="2"/>
  <c r="U4" i="2"/>
  <c r="V4" i="2" s="1"/>
  <c r="W4" i="2" s="1"/>
  <c r="S4" i="2"/>
  <c r="R4" i="2"/>
  <c r="P4" i="2"/>
  <c r="Q4" i="2" s="1"/>
  <c r="T4" i="2" s="1"/>
  <c r="O4" i="2"/>
  <c r="AJ3" i="2"/>
  <c r="AI3" i="2"/>
  <c r="AH3" i="2"/>
  <c r="U3" i="2"/>
  <c r="V3" i="2" s="1"/>
  <c r="W3" i="2" s="1"/>
  <c r="S3" i="2"/>
  <c r="R3" i="2"/>
  <c r="P3" i="2"/>
  <c r="Q3" i="2" s="1"/>
  <c r="T3" i="2" s="1"/>
  <c r="O3" i="2"/>
  <c r="AJ2" i="2"/>
  <c r="AI2" i="2"/>
  <c r="AH2" i="2"/>
  <c r="C3" i="5" s="1"/>
  <c r="U2" i="2"/>
  <c r="V2" i="2" s="1"/>
  <c r="W2" i="2" s="1"/>
  <c r="S2" i="2"/>
  <c r="R2" i="2"/>
  <c r="P2" i="2"/>
  <c r="Q2" i="2" s="1"/>
  <c r="T2" i="2" s="1"/>
  <c r="O2" i="2"/>
  <c r="C2" i="5" l="1"/>
  <c r="C9" i="5"/>
  <c r="B4" i="5"/>
  <c r="X9" i="2"/>
  <c r="AB9" i="2"/>
  <c r="Z9" i="2"/>
  <c r="AA9" i="2" s="1"/>
  <c r="Y9" i="2"/>
  <c r="AB8" i="2"/>
  <c r="Y8" i="2"/>
  <c r="X8" i="2"/>
  <c r="Z8" i="2"/>
  <c r="AA8" i="2" s="1"/>
  <c r="Z7" i="2"/>
  <c r="AA7" i="2" s="1"/>
  <c r="Y7" i="2"/>
  <c r="X7" i="2"/>
  <c r="Y6" i="2"/>
  <c r="X6" i="2"/>
  <c r="AB6" i="2" s="1"/>
  <c r="AG6" i="2" s="1"/>
  <c r="Z6" i="2"/>
  <c r="AA6" i="2" s="1"/>
  <c r="Z5" i="2"/>
  <c r="AA5" i="2" s="1"/>
  <c r="Y5" i="2"/>
  <c r="X5" i="2"/>
  <c r="Z4" i="2"/>
  <c r="Y4" i="2"/>
  <c r="X4" i="2"/>
  <c r="Z3" i="2"/>
  <c r="AA3" i="2" s="1"/>
  <c r="X3" i="2"/>
  <c r="Y3" i="2"/>
  <c r="D3" i="5" a="1"/>
  <c r="D3" i="5" s="1"/>
  <c r="B3" i="5"/>
  <c r="Y2" i="2"/>
  <c r="B7" i="4"/>
  <c r="Z2" i="2"/>
  <c r="AA2" i="2" s="1"/>
  <c r="B14" i="4"/>
  <c r="X2" i="2"/>
  <c r="AG8" i="2" l="1"/>
  <c r="AG9" i="2"/>
  <c r="D2" i="5" a="1"/>
  <c r="D2" i="5" s="1"/>
  <c r="B2" i="5"/>
  <c r="D9" i="5" a="1"/>
  <c r="D9" i="5" s="1"/>
  <c r="B9" i="5"/>
  <c r="AC9" i="2"/>
  <c r="AD9" i="2"/>
  <c r="AE9" i="2"/>
  <c r="AF9" i="2"/>
  <c r="AC8" i="2"/>
  <c r="AD8" i="2"/>
  <c r="AE8" i="2"/>
  <c r="AF8" i="2"/>
  <c r="AD6" i="2"/>
  <c r="AF6" i="2"/>
  <c r="AC6" i="2"/>
  <c r="AE6" i="2"/>
  <c r="B8" i="4"/>
  <c r="B9" i="4"/>
  <c r="C5" i="5"/>
  <c r="AB7" i="2"/>
  <c r="AG7" i="2" s="1"/>
  <c r="AB5" i="2"/>
  <c r="AG5" i="2" s="1"/>
  <c r="AA4" i="2"/>
  <c r="AB4" i="2"/>
  <c r="AB3" i="2"/>
  <c r="AG3" i="2" s="1"/>
  <c r="AB2" i="2"/>
  <c r="AG2" i="2" s="1"/>
  <c r="D5" i="5" l="1" a="1"/>
  <c r="D5" i="5" s="1"/>
  <c r="B5" i="5"/>
  <c r="AF7" i="2"/>
  <c r="AE7" i="2"/>
  <c r="AD7" i="2"/>
  <c r="AC7" i="2"/>
  <c r="AE5" i="2"/>
  <c r="AC5" i="2"/>
  <c r="AF5" i="2"/>
  <c r="AD5" i="2"/>
  <c r="AE4" i="2"/>
  <c r="AC4" i="2"/>
  <c r="AF4" i="2"/>
  <c r="AD4" i="2"/>
  <c r="AG4" i="2"/>
  <c r="AD3" i="2"/>
  <c r="AE3" i="2"/>
  <c r="AC3" i="2"/>
  <c r="AF3" i="2"/>
  <c r="C8" i="5"/>
  <c r="C6" i="5"/>
  <c r="B11" i="4"/>
  <c r="B13" i="4"/>
  <c r="B10" i="4"/>
  <c r="AE2" i="2"/>
  <c r="AF2" i="2" s="1"/>
  <c r="B15" i="4" s="1"/>
  <c r="AD2" i="2"/>
  <c r="AC2" i="2"/>
  <c r="D8" i="5" l="1" a="1"/>
  <c r="D8" i="5" s="1"/>
  <c r="B8" i="5"/>
  <c r="D6" i="5" a="1"/>
  <c r="D6" i="5" s="1"/>
  <c r="B6" i="5"/>
  <c r="B12" i="4"/>
  <c r="C7" i="5"/>
  <c r="D7" i="5" l="1" a="1"/>
  <c r="D7" i="5" s="1"/>
  <c r="B7" i="5"/>
  <c r="B10" i="5" s="1"/>
  <c r="B17" i="4" l="1"/>
  <c r="A11" i="1"/>
</calcChain>
</file>

<file path=xl/sharedStrings.xml><?xml version="1.0" encoding="utf-8"?>
<sst xmlns="http://schemas.openxmlformats.org/spreadsheetml/2006/main" count="218" uniqueCount="151">
  <si>
    <t>Division 7A loan review: s 109N terms and s 109E minimum yearly repayment</t>
  </si>
  <si>
    <t>1. On Register, paste one amalgamated loan per row over the example rows, using the same columns as the CSV the command line tool reads. Booleans are true, false or unknown; a blank is unknown. Rates are fractions (8.77 per cent is 0.0877). Years are written 2026-27.</t>
  </si>
  <si>
    <t>2. On Summary, choose the year of income to review. The s 109N gate reads each loan's benchmark from the year the loan was made; the repayment uses the chosen year's rate.</t>
  </si>
  <si>
    <t>3. Read the calculated columns on Register: each s 109N(1) limb, the gate verdict, the s 109E(6) repayment, the shortfall and the experimental exposure. REFUSED and UNKNOWN are answers, never a number; the reason column says why.</t>
  </si>
  <si>
    <t>4. Review Checks: BLOCKED means the register cannot be read (a bad year label, a value that is not true, false or unknown, text where a number belongs, a formula pasted into an input, or no reviewed rate for the year). REVIEW means a loan is not on s 109N terms, a repayment is short, or a row is undecided. PASS means nothing exposed, nothing undecided.</t>
  </si>
  <si>
    <t>5. A rising benchmark rate raises the minimum yearly repayment on existing complying loans, not just on new ones: s 109E(6) uses the current year's rate.</t>
  </si>
  <si>
    <t>6. Experimental review aid. Not a Division 7A determination. The shortfall is not the dividend (s 109Y, s 109Q and s 109RB are not modelled) and s 109R is not applied.</t>
  </si>
  <si>
    <t>Overall status</t>
  </si>
  <si>
    <t>div7a-loan-review workbook, engine 0.1.1. Macro-free. Not advice; see DISCLAIMER.md in the repository.</t>
  </si>
  <si>
    <t>loan_id</t>
  </si>
  <si>
    <t>borrower_reference</t>
  </si>
  <si>
    <t>year_loan_made</t>
  </si>
  <si>
    <t>written_agreement</t>
  </si>
  <si>
    <t>terms_in_place_before_lodgment_day</t>
  </si>
  <si>
    <t>maximum_term_years</t>
  </si>
  <si>
    <t>secured_by_registered_mortgage_over_real_property</t>
  </si>
  <si>
    <t>security_coverage_at_first_made</t>
  </si>
  <si>
    <t>interest_rate_for_years_after_year_loan_made</t>
  </si>
  <si>
    <t>amalgamated_loan_unpaid_at_end_of_previous_year</t>
  </si>
  <si>
    <t>remaining_term_years</t>
  </si>
  <si>
    <t>payments_applied_during_the_year</t>
  </si>
  <si>
    <t>out_of_scope_reason</t>
  </si>
  <si>
    <t>year_of_income_being_tested</t>
  </si>
  <si>
    <t>Status</t>
  </si>
  <si>
    <t>Floor_year</t>
  </si>
  <si>
    <t>Floor_rate</t>
  </si>
  <si>
    <t>Limb_a_written</t>
  </si>
  <si>
    <t>Limb_lodgment</t>
  </si>
  <si>
    <t>Limb_b_rate</t>
  </si>
  <si>
    <t>Limb_secured</t>
  </si>
  <si>
    <t>Allowed_term_raw</t>
  </si>
  <si>
    <t>Limb_c_term</t>
  </si>
  <si>
    <t>Gate_verdict</t>
  </si>
  <si>
    <t>Max_term_allowed</t>
  </si>
  <si>
    <t>Term_used</t>
  </si>
  <si>
    <t>MYR_raw</t>
  </si>
  <si>
    <t>MYR_verdict</t>
  </si>
  <si>
    <t>MYR_reason</t>
  </si>
  <si>
    <t>MYR_required</t>
  </si>
  <si>
    <t>Shortfall</t>
  </si>
  <si>
    <t>Exposure</t>
  </si>
  <si>
    <t>Undecided</t>
  </si>
  <si>
    <t>Guard</t>
  </si>
  <si>
    <t>Input_problem</t>
  </si>
  <si>
    <t>Sample_row</t>
  </si>
  <si>
    <t>L-101</t>
  </si>
  <si>
    <t>SYN-SHAREHOLDER-A</t>
  </si>
  <si>
    <t>2023-24</t>
  </si>
  <si>
    <t>true</t>
  </si>
  <si>
    <t>false</t>
  </si>
  <si>
    <t>unknown</t>
  </si>
  <si>
    <t>L-102</t>
  </si>
  <si>
    <t>SYN-ASSOCIATE-B</t>
  </si>
  <si>
    <t>2022-23</t>
  </si>
  <si>
    <t>L-103</t>
  </si>
  <si>
    <t>SYN-SHAREHOLDER-C</t>
  </si>
  <si>
    <t>2021-22</t>
  </si>
  <si>
    <t>L-104</t>
  </si>
  <si>
    <t>SYN-ASSOCIATE-D</t>
  </si>
  <si>
    <t>2024-25</t>
  </si>
  <si>
    <t>L-105</t>
  </si>
  <si>
    <t>SYN-SHAREHOLDER-E</t>
  </si>
  <si>
    <t>2019-20</t>
  </si>
  <si>
    <t>L-106</t>
  </si>
  <si>
    <t>SYN-ASSOCIATE-F</t>
  </si>
  <si>
    <t>2020-21</t>
  </si>
  <si>
    <t>L-107</t>
  </si>
  <si>
    <t>SYN-TRUST-G</t>
  </si>
  <si>
    <t>Unpaid present entitlement under s 109XA; sub-trust arrangement not reviewed by this engine</t>
  </si>
  <si>
    <t>L-108</t>
  </si>
  <si>
    <t>SYN-SHAREHOLDER-H</t>
  </si>
  <si>
    <t>1996-97</t>
  </si>
  <si>
    <t>year_of_income</t>
  </si>
  <si>
    <t>rate</t>
  </si>
  <si>
    <t>rba_table</t>
  </si>
  <si>
    <t>rba_series</t>
  </si>
  <si>
    <t>rba_month</t>
  </si>
  <si>
    <t>source</t>
  </si>
  <si>
    <t>seen</t>
  </si>
  <si>
    <t>F5</t>
  </si>
  <si>
    <t>FILRHLBVS</t>
  </si>
  <si>
    <t>2019-05</t>
  </si>
  <si>
    <t>RBA statistical table F5 Indicator Lending Rates, series FILRHLBVS (Housing loans; Banks; Variable; Standard; Owner-occupier), figure for May 2019; cross-checked against the published Division 7A benchmark rate table.</t>
  </si>
  <si>
    <t>2026-08-28</t>
  </si>
  <si>
    <t>2020-05</t>
  </si>
  <si>
    <t>RBA statistical table F5 Indicator Lending Rates, series FILRHLBVS (Housing loans; Banks; Variable; Standard; Owner-occupier), figure for May 2020; cross-checked against the published Division 7A benchmark rate table.</t>
  </si>
  <si>
    <t>2021-05</t>
  </si>
  <si>
    <t>RBA statistical table F5 Indicator Lending Rates, series FILRHLBVS (Housing loans; Banks; Variable; Standard; Owner-occupier), figure for May 2021; cross-checked against the published Division 7A benchmark rate table.</t>
  </si>
  <si>
    <t>2022-05</t>
  </si>
  <si>
    <t>RBA statistical table F5 Indicator Lending Rates, series FILRHLBVS (Housing loans; Banks; Variable; Standard; Owner-occupier), figure for May 2022; cross-checked against the published Division 7A benchmark rate table.</t>
  </si>
  <si>
    <t>2023-05</t>
  </si>
  <si>
    <t>RBA statistical table F5 Indicator Lending Rates, series FILRHLBVS (Housing loans; Banks; Variable; Standard; Owner-occupier), figure for May 2023; cross-checked against the published Division 7A benchmark rate table.</t>
  </si>
  <si>
    <t>2024-05</t>
  </si>
  <si>
    <t>RBA statistical table F5 Indicator Lending Rates, series FILRHLBVS (Housing loans; Banks; Variable; Standard; Owner-occupier), figure for May 2024; cross-checked against the published Division 7A benchmark rate table.</t>
  </si>
  <si>
    <t>2025-26</t>
  </si>
  <si>
    <t>2025-05</t>
  </si>
  <si>
    <t>RBA statistical table F5 Indicator Lending Rates, series FILRHLBVS (Housing loans; Banks; Variable; Standard; Owner-occupier), figure for May 2025 (8.37 per cent). June 2025 was 8.27 per cent and is not the benchmark rate: it was published after the year of income began.</t>
  </si>
  <si>
    <t>2026-27</t>
  </si>
  <si>
    <t>2026-05</t>
  </si>
  <si>
    <t>RBA statistical table F5 Indicator Lending Rates, series FILRHLBVS (Housing loans; Banks; Variable; Standard; Owner-occupier), figure for May 2026; cross-checked against the published Division 7A benchmark rate table.</t>
  </si>
  <si>
    <t>To review a year outside this table, add a row with the May RBA F5 FILRHLBVS figure and cite where you read it. A blank source is not a review.</t>
  </si>
  <si>
    <t>Review</t>
  </si>
  <si>
    <t>Year of income under review</t>
  </si>
  <si>
    <t>Benchmark interest rate for that year (s 109N(2))</t>
  </si>
  <si>
    <t>Year start</t>
  </si>
  <si>
    <t>Summary (counts are per question, not per row)</t>
  </si>
  <si>
    <t>rows_reviewed</t>
  </si>
  <si>
    <t>COMPLYING</t>
  </si>
  <si>
    <t>NOT_COMPLYING</t>
  </si>
  <si>
    <t>MYR_MET</t>
  </si>
  <si>
    <t>MYR_SHORT</t>
  </si>
  <si>
    <t>UNKNOWN</t>
  </si>
  <si>
    <t>REFUSED</t>
  </si>
  <si>
    <t>SKIPPED</t>
  </si>
  <si>
    <t>experimental_total_exposure</t>
  </si>
  <si>
    <t>Check</t>
  </si>
  <si>
    <t>Result</t>
  </si>
  <si>
    <t>Count or value</t>
  </si>
  <si>
    <t>Example loan</t>
  </si>
  <si>
    <t>Every register value can be read</t>
  </si>
  <si>
    <t>No formula in an input cell</t>
  </si>
  <si>
    <t>A reviewed benchmark rate exists for the year of income</t>
  </si>
  <si>
    <t>Every reviewed loan is on s 109N terms</t>
  </si>
  <si>
    <t>No minimum yearly repayment is short</t>
  </si>
  <si>
    <t>No row is undecided (UNKNOWN)</t>
  </si>
  <si>
    <t>Rows refused a repayment figure (read the reason; not a breach by itself)</t>
  </si>
  <si>
    <t>No fabricated example loan from the shipped sample remains in the register</t>
  </si>
  <si>
    <t>Caveats the engine attaches to every result</t>
  </si>
  <si>
    <t>COMPLYING means the four limbs of s 109N(1) are established on the operator's own facts. The lodgment day (s 109D(6)) is asserted, not computed. Refinancing reductions to the maximum term (s 109N(3A) to (3D)) and the other Subdivision D exclusions are not modelled.</t>
  </si>
  <si>
    <t>s 109R: the workbook does not decide whether the payments applied are genuine repayments. The figure used is the operator's assertion.</t>
  </si>
  <si>
    <t>Any shortfall shown is an experimental review aid, not an ATO assessment and not a s 109E(1) determination. s 109E(2) makes the dividend the shortfall subject to s 109Y, and s 109E(1)(d) removes it where s 109Q applies. Neither is modelled, nor is s 109RB.</t>
  </si>
  <si>
    <t>The s 109E(6) amount is rounded to cents half up. The Act prescribes no rounding; this is the engine's documented choice. A fractional remaining term is rounded up to a whole number under the closing words of s 109E(6).</t>
  </si>
  <si>
    <t>A loan year before 1998-99 is skipped: Division 7A reaches a loan made before 4 December 1997 only where its terms were varied on or after that day (s 109D(5)).</t>
  </si>
  <si>
    <t>Item</t>
  </si>
  <si>
    <t>Value</t>
  </si>
  <si>
    <t>Workbook engine version</t>
  </si>
  <si>
    <t>0.1.1</t>
  </si>
  <si>
    <t>Desktop Excel build used to calculate cached values</t>
  </si>
  <si>
    <t>Law</t>
  </si>
  <si>
    <t>Income Tax Assessment Act 1936 (Cth) Part III Division 7A, C1936A00027, compilation in force 1 July 2026: s 109D, 109E, 109N, 109P, 109R</t>
  </si>
  <si>
    <t>Law source</t>
  </si>
  <si>
    <t>https://www.legislation.gov.au/C1936A00027/latest/text</t>
  </si>
  <si>
    <t>Benchmark rates</t>
  </si>
  <si>
    <t>RBA statistical table F5 Indicator Lending Rates, series FILRHLBVS, May figure for each year of income (s 109N(2))</t>
  </si>
  <si>
    <t>Rates reviewed until</t>
  </si>
  <si>
    <t>Rates reviewed on</t>
  </si>
  <si>
    <t>Rates explainer</t>
  </si>
  <si>
    <t>https://duguid.com.au/rates/div7a-benchmark-rate/</t>
  </si>
  <si>
    <t>Disclaimer</t>
  </si>
  <si>
    <t>Experimental review aid. Not a Division 7A determination, not an ATO assessment, and not tax, legal or financial advice.</t>
  </si>
  <si>
    <t>Excel 16.0 build 20430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</si>
</sst>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5C2D91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1F4E9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3F1F6"/>
      </patternFill>
    </fill>
    <fill>
      <patternFill patternType="solid">
        <fgColor rgb="FF5C2D91"/>
      </patternFill>
    </fill>
    <fill>
      <patternFill patternType="solid">
        <fgColor rgb="FFE2E0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49" fontId="5" fillId="4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49" fontId="5" fillId="4" borderId="0" xfId="0" applyNumberFormat="1" applyFont="1" applyFill="1" applyProtection="1">
      <protection locked="0"/>
    </xf>
    <xf numFmtId="10" fontId="0" fillId="2" borderId="0" xfId="0" applyNumberFormat="1" applyFill="1"/>
    <xf numFmtId="0" fontId="2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ans" displayName="tblLoans" ref="A1:AJ9">
  <tableColumns count="36">
    <tableColumn id="1" xr3:uid="{00000000-0010-0000-0000-000001000000}" name="loan_id"/>
    <tableColumn id="2" xr3:uid="{00000000-0010-0000-0000-000002000000}" name="borrower_reference"/>
    <tableColumn id="3" xr3:uid="{00000000-0010-0000-0000-000003000000}" name="year_loan_made"/>
    <tableColumn id="4" xr3:uid="{00000000-0010-0000-0000-000004000000}" name="written_agreement"/>
    <tableColumn id="5" xr3:uid="{00000000-0010-0000-0000-000005000000}" name="terms_in_place_before_lodgment_day"/>
    <tableColumn id="6" xr3:uid="{00000000-0010-0000-0000-000006000000}" name="maximum_term_years"/>
    <tableColumn id="7" xr3:uid="{00000000-0010-0000-0000-000007000000}" name="secured_by_registered_mortgage_over_real_property"/>
    <tableColumn id="8" xr3:uid="{00000000-0010-0000-0000-000008000000}" name="security_coverage_at_first_made"/>
    <tableColumn id="9" xr3:uid="{00000000-0010-0000-0000-000009000000}" name="interest_rate_for_years_after_year_loan_made"/>
    <tableColumn id="10" xr3:uid="{00000000-0010-0000-0000-00000A000000}" name="amalgamated_loan_unpaid_at_end_of_previous_year"/>
    <tableColumn id="11" xr3:uid="{00000000-0010-0000-0000-00000B000000}" name="remaining_term_years"/>
    <tableColumn id="12" xr3:uid="{00000000-0010-0000-0000-00000C000000}" name="payments_applied_during_the_year"/>
    <tableColumn id="13" xr3:uid="{00000000-0010-0000-0000-00000D000000}" name="out_of_scope_reason"/>
    <tableColumn id="14" xr3:uid="{00000000-0010-0000-0000-00000E000000}" name="year_of_income_being_tested"/>
    <tableColumn id="15" xr3:uid="{00000000-0010-0000-0000-00000F000000}" name="Status">
      <calculatedColumnFormula>IF(NOT(OR(LOWER(TRIM(tblLoans[[#This Row],[out_of_scope_reason]]&amp;""))={"","-","?","n/a","na","unk","unknown"})),"SKIPPED",IF(IFERROR(VALUE(LEFT(tblLoans[[#This Row],[year_loan_made]],4))&lt;1998,FALSE),"SKIPPED","REVIEWED"))</calculatedColumnFormula>
    </tableColumn>
    <tableColumn id="16" xr3:uid="{00000000-0010-0000-0000-000010000000}" name="Floor_year">
      <calculatedColumnFormula>IF(OR(LOWER(TRIM(tblLoans[[#This Row],[year_of_income_being_tested]]&amp;""))={"","-","?","n/a","na","unk","unknown"}),tblLoans[[#This Row],[year_loan_made]]&amp;"",tblLoans[[#This Row],[year_of_income_being_tested]]&amp;"")</calculatedColumnFormula>
    </tableColumn>
    <tableColumn id="17" xr3:uid="{00000000-0010-0000-0000-000011000000}" name="Floor_rate">
      <calculatedColumnFormula>IFERROR(INDEX(tblRates[rate],MATCH(tblLoans[[#This Row],[Floor_year]],tblRates[year_of_income],0)),"")</calculatedColumnFormula>
    </tableColumn>
    <tableColumn id="18" xr3:uid="{00000000-0010-0000-0000-000012000000}" name="Limb_a_written">
      <calculatedColumnFormula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calculatedColumnFormula>
    </tableColumn>
    <tableColumn id="19" xr3:uid="{00000000-0010-0000-0000-000013000000}" name="Limb_lodgment">
      <calculatedColumnFormula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calculatedColumnFormula>
    </tableColumn>
    <tableColumn id="20" xr3:uid="{00000000-0010-0000-0000-000014000000}" name="Limb_b_rate">
      <calculatedColumnFormula>IF(NOT(ISNUMBER(tblLoans[[#This Row],[interest_rate_for_years_after_year_loan_made]])),"UNKNOWN",IF(tblLoans[[#This Row],[Floor_rate]]="","UNKNOWN",IF(tblLoans[[#This Row],[interest_rate_for_years_after_year_loan_made]]&gt;=tblLoans[[#This Row],[Floor_rate]],"PASS","FAIL")))</calculatedColumnFormula>
    </tableColumn>
    <tableColumn id="21" xr3:uid="{00000000-0010-0000-0000-000015000000}" name="Limb_secured">
      <calculatedColumnFormula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calculatedColumnFormula>
    </tableColumn>
    <tableColumn id="22" xr3:uid="{00000000-0010-0000-0000-000016000000}" name="Allowed_term_raw">
      <calculatedColumnFormula>IF(tblLoans[[#This Row],[Limb_secured]]="FAIL",7,IF(tblLoans[[#This Row],[Limb_secured]]="PASS",IF(ISNUMBER(tblLoans[[#This Row],[security_coverage_at_first_made]]),IF(tblLoans[[#This Row],[security_coverage_at_first_made]]&gt;=1.1,25,7),""),""))</calculatedColumnFormula>
    </tableColumn>
    <tableColumn id="23" xr3:uid="{00000000-0010-0000-0000-000017000000}" name="Limb_c_term">
      <calculatedColumnFormula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calculatedColumnFormula>
    </tableColumn>
    <tableColumn id="24" xr3:uid="{00000000-0010-0000-0000-000018000000}" name="Gate_verdict">
      <calculatedColumnFormula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calculatedColumnFormula>
    </tableColumn>
    <tableColumn id="25" xr3:uid="{00000000-0010-0000-0000-000019000000}" name="Max_term_allowed">
      <calculatedColumnFormula>IF(tblLoans[[#This Row],[Status]]="SKIPPED","",IF(tblLoans[[#This Row],[Allowed_term_raw]]&lt;&gt;"",tblLoans[[#This Row],[Allowed_term_raw]],IF(AND(ISNUMBER(tblLoans[[#This Row],[maximum_term_years]]),tblLoans[[#This Row],[maximum_term_years]]&lt;=7),7,"")))</calculatedColumnFormula>
    </tableColumn>
    <tableColumn id="26" xr3:uid="{00000000-0010-0000-0000-00001A000000}" name="Term_used">
      <calculatedColumnFormula>IF(tblLoans[[#This Row],[Status]]="SKIPPED","",IF(ISNUMBER(tblLoans[[#This Row],[remaining_term_years]]),ROUNDUP(tblLoans[[#This Row],[remaining_term_years]],0),""))</calculatedColumnFormula>
    </tableColumn>
    <tableColumn id="27" xr3:uid="{00000000-0010-0000-0000-00001B000000}" name="MYR_raw">
      <calculatedColumnFormula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calculatedColumnFormula>
    </tableColumn>
    <tableColumn id="28" xr3:uid="{00000000-0010-0000-0000-00001C000000}" name="MYR_verdict">
      <calculatedColumnFormula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calculatedColumnFormula>
    </tableColumn>
    <tableColumn id="29" xr3:uid="{00000000-0010-0000-0000-00001D000000}" name="MYR_reason">
      <calculatedColumnFormula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calculatedColumnFormula>
    </tableColumn>
    <tableColumn id="30" xr3:uid="{00000000-0010-0000-0000-00001E000000}" name="MYR_required">
      <calculatedColumnFormula>IF(OR(tblLoans[[#This Row],[MYR_verdict]]="MYR_MET",tblLoans[[#This Row],[MYR_verdict]]="MYR_SHORT"),tblLoans[[#This Row],[MYR_raw]],"")</calculatedColumnFormula>
    </tableColumn>
    <tableColumn id="31" xr3:uid="{00000000-0010-0000-0000-00001F000000}" name="Shortfall">
      <calculatedColumnFormula>IF(OR(tblLoans[[#This Row],[MYR_verdict]]="MYR_MET",tblLoans[[#This Row],[MYR_verdict]]="MYR_SHORT"),MAX(0,ROUND(tblLoans[[#This Row],[MYR_raw]]-ROUND(tblLoans[[#This Row],[payments_applied_during_the_year]],2),2)),"")</calculatedColumnFormula>
    </tableColumn>
    <tableColumn id="32" xr3:uid="{00000000-0010-0000-0000-000020000000}" name="Exposure">
      <calculatedColumnFormula>IF(tblLoans[[#This Row],[MYR_verdict]]="MYR_SHORT",tblLoans[[#This Row],[Shortfall]],"")</calculatedColumnFormula>
    </tableColumn>
    <tableColumn id="33" xr3:uid="{00000000-0010-0000-0000-000021000000}" name="Undecided">
      <calculatedColumnFormula>IF(AND(tblLoans[[#This Row],[Status]]="REVIEWED",OR(tblLoans[[#This Row],[Gate_verdict]]="UNKNOWN",tblLoans[[#This Row],[MYR_verdict]]="UNKNOWN")),1,0)</calculatedColumnFormula>
    </tableColumn>
    <tableColumn id="34" xr3:uid="{00000000-0010-0000-0000-000022000000}" name="Guard">
      <calculatedColumnFormula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calculatedColumnFormula>
    </tableColumn>
    <tableColumn id="35" xr3:uid="{00000000-0010-0000-0000-000023000000}" name="Input_problem">
      <calculatedColumnFormula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calculatedColumnFormula>
    </tableColumn>
    <tableColumn id="36" xr3:uid="{00000000-0010-0000-0000-000024000000}" name="Sample_row">
      <calculatedColumnFormula>IF(SUMPRODUCT((tblLoans[[#This Row],[loan_id]]&amp;""={"L-101","L-102","L-103","L-104","L-105","L-106","L-107","L-108"})*(tblLoans[[#This Row],[year_loan_made]]&amp;""={"2023-24","2022-23","2021-22","2024-25","2019-20","2020-21","2023-24","1996-97"}))&gt;0,1,0)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ates" displayName="tblRates" ref="A1:G9">
  <tableColumns count="7">
    <tableColumn id="1" xr3:uid="{00000000-0010-0000-0100-000001000000}" name="year_of_income"/>
    <tableColumn id="2" xr3:uid="{00000000-0010-0000-0100-000002000000}" name="rate"/>
    <tableColumn id="3" xr3:uid="{00000000-0010-0000-0100-000003000000}" name="rba_table"/>
    <tableColumn id="4" xr3:uid="{00000000-0010-0000-0100-000004000000}" name="rba_series"/>
    <tableColumn id="5" xr3:uid="{00000000-0010-0000-0100-000005000000}" name="rba_month"/>
    <tableColumn id="6" xr3:uid="{00000000-0010-0000-0100-000006000000}" name="source"/>
    <tableColumn id="7" xr3:uid="{00000000-0010-0000-0100-000007000000}" name="see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5" x14ac:dyDescent="0.25"/>
  <cols>
    <col min="1" max="1" width="110" customWidth="1"/>
  </cols>
  <sheetData>
    <row r="1" spans="1:1" ht="18.75" x14ac:dyDescent="0.3">
      <c r="A1" s="1" t="s">
        <v>0</v>
      </c>
    </row>
    <row r="3" spans="1:1" ht="45" x14ac:dyDescent="0.25">
      <c r="A3" s="2" t="s">
        <v>1</v>
      </c>
    </row>
    <row r="4" spans="1:1" ht="30" x14ac:dyDescent="0.25">
      <c r="A4" s="2" t="s">
        <v>2</v>
      </c>
    </row>
    <row r="5" spans="1:1" ht="30" x14ac:dyDescent="0.25">
      <c r="A5" s="2" t="s">
        <v>3</v>
      </c>
    </row>
    <row r="6" spans="1:1" ht="60" x14ac:dyDescent="0.25">
      <c r="A6" s="2" t="s">
        <v>4</v>
      </c>
    </row>
    <row r="7" spans="1:1" ht="30" x14ac:dyDescent="0.25">
      <c r="A7" s="2" t="s">
        <v>5</v>
      </c>
    </row>
    <row r="8" spans="1:1" ht="30" x14ac:dyDescent="0.25">
      <c r="A8" s="2" t="s">
        <v>6</v>
      </c>
    </row>
    <row r="10" spans="1:1" x14ac:dyDescent="0.25">
      <c r="A10" s="3" t="s">
        <v>7</v>
      </c>
    </row>
    <row r="11" spans="1:1" ht="18.75" x14ac:dyDescent="0.3">
      <c r="A11" s="4" t="str">
        <f>'Review Checks'!B10</f>
        <v>REVIEW</v>
      </c>
    </row>
    <row r="13" spans="1:1" x14ac:dyDescent="0.25">
      <c r="A13" t="s">
        <v>8</v>
      </c>
    </row>
  </sheetData>
  <conditionalFormatting sqref="A11">
    <cfRule type="cellIs" dxfId="8" priority="1" operator="equal">
      <formula>"BLOCKED"</formula>
    </cfRule>
    <cfRule type="cellIs" dxfId="7" priority="2" operator="equal">
      <formula>"REVIEW"</formula>
    </cfRule>
    <cfRule type="cellIs" dxfId="6" priority="3" operator="equal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9" width="12" customWidth="1"/>
    <col min="10" max="10" width="14" customWidth="1"/>
    <col min="11" max="11" width="12" customWidth="1"/>
    <col min="12" max="12" width="14" customWidth="1"/>
    <col min="13" max="13" width="24" customWidth="1"/>
    <col min="14" max="28" width="12" customWidth="1"/>
    <col min="29" max="29" width="40" customWidth="1"/>
    <col min="30" max="32" width="14" customWidth="1"/>
    <col min="33" max="36" width="12" customWidth="1"/>
  </cols>
  <sheetData>
    <row r="1" spans="1:3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5" t="s">
        <v>36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41</v>
      </c>
      <c r="AH1" s="5" t="s">
        <v>42</v>
      </c>
      <c r="AI1" s="5" t="s">
        <v>43</v>
      </c>
      <c r="AJ1" s="5" t="s">
        <v>44</v>
      </c>
    </row>
    <row r="2" spans="1:36" x14ac:dyDescent="0.25">
      <c r="A2" s="6" t="s">
        <v>45</v>
      </c>
      <c r="B2" s="6" t="s">
        <v>46</v>
      </c>
      <c r="C2" s="6" t="s">
        <v>47</v>
      </c>
      <c r="D2" s="7" t="s">
        <v>48</v>
      </c>
      <c r="E2" s="7" t="s">
        <v>48</v>
      </c>
      <c r="F2" s="7">
        <v>7</v>
      </c>
      <c r="G2" s="7" t="s">
        <v>49</v>
      </c>
      <c r="H2" s="7" t="s">
        <v>50</v>
      </c>
      <c r="I2" s="7">
        <v>8.2699999999999996E-2</v>
      </c>
      <c r="J2" s="8">
        <v>120000</v>
      </c>
      <c r="K2" s="7">
        <v>3</v>
      </c>
      <c r="L2" s="8">
        <v>45000</v>
      </c>
      <c r="M2" s="6"/>
      <c r="N2" s="6"/>
      <c r="O2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2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2" s="9">
        <f>IFERROR(INDEX(tblRates[rate],MATCH(tblLoans[[#This Row],[Floor_year]],tblRates[year_of_income],0)),"")</f>
        <v>8.2699999999999996E-2</v>
      </c>
      <c r="R2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2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2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2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2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2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2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2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2" s="9">
        <f>IF(tblLoans[[#This Row],[Status]]="SKIPPED","",IF(ISNUMBER(tblLoans[[#This Row],[remaining_term_years]]),ROUNDUP(tblLoans[[#This Row],[remaining_term_years]],0),""))</f>
        <v>3</v>
      </c>
      <c r="AA2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47212.37</v>
      </c>
      <c r="AB2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MYR_SHORT</v>
      </c>
      <c r="AC2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2" s="10">
        <f>IF(OR(tblLoans[[#This Row],[MYR_verdict]]="MYR_MET",tblLoans[[#This Row],[MYR_verdict]]="MYR_SHORT"),tblLoans[[#This Row],[MYR_raw]],"")</f>
        <v>47212.37</v>
      </c>
      <c r="AE2" s="10">
        <f>IF(OR(tblLoans[[#This Row],[MYR_verdict]]="MYR_MET",tblLoans[[#This Row],[MYR_verdict]]="MYR_SHORT"),MAX(0,ROUND(tblLoans[[#This Row],[MYR_raw]]-ROUND(tblLoans[[#This Row],[payments_applied_during_the_year]],2),2)),"")</f>
        <v>2212.37</v>
      </c>
      <c r="AF2" s="10">
        <f>IF(tblLoans[[#This Row],[MYR_verdict]]="MYR_SHORT",tblLoans[[#This Row],[Shortfall]],"")</f>
        <v>2212.37</v>
      </c>
      <c r="AG2" s="9">
        <f>IF(AND(tblLoans[[#This Row],[Status]]="REVIEWED",OR(tblLoans[[#This Row],[Gate_verdict]]="UNKNOWN",tblLoans[[#This Row],[MYR_verdict]]="UNKNOWN")),1,0)</f>
        <v>0</v>
      </c>
      <c r="AH2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2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2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3" spans="1:36" x14ac:dyDescent="0.25">
      <c r="A3" s="6" t="s">
        <v>51</v>
      </c>
      <c r="B3" s="6" t="s">
        <v>52</v>
      </c>
      <c r="C3" s="6" t="s">
        <v>53</v>
      </c>
      <c r="D3" s="7" t="s">
        <v>48</v>
      </c>
      <c r="E3" s="7" t="s">
        <v>48</v>
      </c>
      <c r="F3" s="7">
        <v>7</v>
      </c>
      <c r="G3" s="7" t="s">
        <v>49</v>
      </c>
      <c r="H3" s="7" t="s">
        <v>50</v>
      </c>
      <c r="I3" s="7">
        <v>0.04</v>
      </c>
      <c r="J3" s="8">
        <v>90000</v>
      </c>
      <c r="K3" s="7">
        <v>4</v>
      </c>
      <c r="L3" s="8">
        <v>20000</v>
      </c>
      <c r="M3" s="6"/>
      <c r="N3" s="6"/>
      <c r="O3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3" s="9" t="str">
        <f>IF(OR(LOWER(TRIM(tblLoans[[#This Row],[year_of_income_being_tested]]&amp;""))={"","-","?","n/a","na","unk","unknown"}),tblLoans[[#This Row],[year_loan_made]]&amp;"",tblLoans[[#This Row],[year_of_income_being_tested]]&amp;"")</f>
        <v>2022-23</v>
      </c>
      <c r="Q3" s="9">
        <f>IFERROR(INDEX(tblRates[rate],MATCH(tblLoans[[#This Row],[Floor_year]],tblRates[year_of_income],0)),"")</f>
        <v>4.7699999999999999E-2</v>
      </c>
      <c r="R3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3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3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FAIL</v>
      </c>
      <c r="U3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3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3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3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3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3" s="9">
        <f>IF(tblLoans[[#This Row],[Status]]="SKIPPED","",IF(ISNUMBER(tblLoans[[#This Row],[remaining_term_years]]),ROUNDUP(tblLoans[[#This Row],[remaining_term_years]],0),""))</f>
        <v>4</v>
      </c>
      <c r="AA3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27640.06</v>
      </c>
      <c r="AB3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3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3" s="10" t="str">
        <f>IF(OR(tblLoans[[#This Row],[MYR_verdict]]="MYR_MET",tblLoans[[#This Row],[MYR_verdict]]="MYR_SHORT"),tblLoans[[#This Row],[MYR_raw]],"")</f>
        <v/>
      </c>
      <c r="AE3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3" s="10" t="str">
        <f>IF(tblLoans[[#This Row],[MYR_verdict]]="MYR_SHORT",tblLoans[[#This Row],[Shortfall]],"")</f>
        <v/>
      </c>
      <c r="AG3" s="9">
        <f>IF(AND(tblLoans[[#This Row],[Status]]="REVIEWED",OR(tblLoans[[#This Row],[Gate_verdict]]="UNKNOWN",tblLoans[[#This Row],[MYR_verdict]]="UNKNOWN")),1,0)</f>
        <v>0</v>
      </c>
      <c r="AH3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3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3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4" spans="1:36" x14ac:dyDescent="0.25">
      <c r="A4" s="6" t="s">
        <v>54</v>
      </c>
      <c r="B4" s="6" t="s">
        <v>55</v>
      </c>
      <c r="C4" s="6" t="s">
        <v>56</v>
      </c>
      <c r="D4" s="7" t="s">
        <v>50</v>
      </c>
      <c r="E4" s="7" t="s">
        <v>48</v>
      </c>
      <c r="F4" s="7">
        <v>7</v>
      </c>
      <c r="G4" s="7" t="s">
        <v>49</v>
      </c>
      <c r="H4" s="7" t="s">
        <v>50</v>
      </c>
      <c r="I4" s="7">
        <v>4.5199999999999997E-2</v>
      </c>
      <c r="J4" s="8">
        <v>50000</v>
      </c>
      <c r="K4" s="7">
        <v>2</v>
      </c>
      <c r="L4" s="8">
        <v>15000</v>
      </c>
      <c r="M4" s="6"/>
      <c r="N4" s="6"/>
      <c r="O4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4" s="9" t="str">
        <f>IF(OR(LOWER(TRIM(tblLoans[[#This Row],[year_of_income_being_tested]]&amp;""))={"","-","?","n/a","na","unk","unknown"}),tblLoans[[#This Row],[year_loan_made]]&amp;"",tblLoans[[#This Row],[year_of_income_being_tested]]&amp;"")</f>
        <v>2021-22</v>
      </c>
      <c r="Q4" s="9">
        <f>IFERROR(INDEX(tblRates[rate],MATCH(tblLoans[[#This Row],[Floor_year]],tblRates[year_of_income],0)),"")</f>
        <v>4.5199999999999997E-2</v>
      </c>
      <c r="R4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4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4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4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4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4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4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UNKNOWN</v>
      </c>
      <c r="Y4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4" s="9">
        <f>IF(tblLoans[[#This Row],[Status]]="SKIPPED","",IF(ISNUMBER(tblLoans[[#This Row],[remaining_term_years]]),ROUNDUP(tblLoans[[#This Row],[remaining_term_years]],0),""))</f>
        <v>2</v>
      </c>
      <c r="AA4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28334.799999999999</v>
      </c>
      <c r="AB4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4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UNKNOWN, so s 109E produces no repayment figure</v>
      </c>
      <c r="AD4" s="10" t="str">
        <f>IF(OR(tblLoans[[#This Row],[MYR_verdict]]="MYR_MET",tblLoans[[#This Row],[MYR_verdict]]="MYR_SHORT"),tblLoans[[#This Row],[MYR_raw]],"")</f>
        <v/>
      </c>
      <c r="AE4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4" s="10" t="str">
        <f>IF(tblLoans[[#This Row],[MYR_verdict]]="MYR_SHORT",tblLoans[[#This Row],[Shortfall]],"")</f>
        <v/>
      </c>
      <c r="AG4" s="9">
        <f>IF(AND(tblLoans[[#This Row],[Status]]="REVIEWED",OR(tblLoans[[#This Row],[Gate_verdict]]="UNKNOWN",tblLoans[[#This Row],[MYR_verdict]]="UNKNOWN")),1,0)</f>
        <v>1</v>
      </c>
      <c r="AH4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4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4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5" spans="1:36" x14ac:dyDescent="0.25">
      <c r="A5" s="6" t="s">
        <v>57</v>
      </c>
      <c r="B5" s="6" t="s">
        <v>58</v>
      </c>
      <c r="C5" s="6" t="s">
        <v>59</v>
      </c>
      <c r="D5" s="7" t="s">
        <v>48</v>
      </c>
      <c r="E5" s="7" t="s">
        <v>48</v>
      </c>
      <c r="F5" s="7">
        <v>7</v>
      </c>
      <c r="G5" s="7" t="s">
        <v>49</v>
      </c>
      <c r="H5" s="7" t="s">
        <v>50</v>
      </c>
      <c r="I5" s="7">
        <v>8.77E-2</v>
      </c>
      <c r="J5" s="8">
        <v>88000</v>
      </c>
      <c r="K5" s="7">
        <v>5</v>
      </c>
      <c r="L5" s="8" t="s">
        <v>50</v>
      </c>
      <c r="M5" s="6"/>
      <c r="N5" s="6"/>
      <c r="O5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5" s="9" t="str">
        <f>IF(OR(LOWER(TRIM(tblLoans[[#This Row],[year_of_income_being_tested]]&amp;""))={"","-","?","n/a","na","unk","unknown"}),tblLoans[[#This Row],[year_loan_made]]&amp;"",tblLoans[[#This Row],[year_of_income_being_tested]]&amp;"")</f>
        <v>2024-25</v>
      </c>
      <c r="Q5" s="9">
        <f>IFERROR(INDEX(tblRates[rate],MATCH(tblLoans[[#This Row],[Floor_year]],tblRates[year_of_income],0)),"")</f>
        <v>8.77E-2</v>
      </c>
      <c r="R5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5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5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5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5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5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5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5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5" s="9">
        <f>IF(tblLoans[[#This Row],[Status]]="SKIPPED","",IF(ISNUMBER(tblLoans[[#This Row],[remaining_term_years]]),ROUNDUP(tblLoans[[#This Row],[remaining_term_years]],0),""))</f>
        <v>5</v>
      </c>
      <c r="AA5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22489.279999999999</v>
      </c>
      <c r="AB5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UNKNOWN</v>
      </c>
      <c r="AC5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payments applied not established</v>
      </c>
      <c r="AD5" s="10" t="str">
        <f>IF(OR(tblLoans[[#This Row],[MYR_verdict]]="MYR_MET",tblLoans[[#This Row],[MYR_verdict]]="MYR_SHORT"),tblLoans[[#This Row],[MYR_raw]],"")</f>
        <v/>
      </c>
      <c r="AE5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5" s="10" t="str">
        <f>IF(tblLoans[[#This Row],[MYR_verdict]]="MYR_SHORT",tblLoans[[#This Row],[Shortfall]],"")</f>
        <v/>
      </c>
      <c r="AG5" s="9">
        <f>IF(AND(tblLoans[[#This Row],[Status]]="REVIEWED",OR(tblLoans[[#This Row],[Gate_verdict]]="UNKNOWN",tblLoans[[#This Row],[MYR_verdict]]="UNKNOWN")),1,0)</f>
        <v>1</v>
      </c>
      <c r="AH5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5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5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6" spans="1:36" x14ac:dyDescent="0.25">
      <c r="A6" s="6" t="s">
        <v>60</v>
      </c>
      <c r="B6" s="6" t="s">
        <v>61</v>
      </c>
      <c r="C6" s="6" t="s">
        <v>62</v>
      </c>
      <c r="D6" s="7" t="s">
        <v>48</v>
      </c>
      <c r="E6" s="7" t="s">
        <v>48</v>
      </c>
      <c r="F6" s="7">
        <v>7</v>
      </c>
      <c r="G6" s="7" t="s">
        <v>49</v>
      </c>
      <c r="H6" s="7" t="s">
        <v>50</v>
      </c>
      <c r="I6" s="7">
        <v>5.3699999999999998E-2</v>
      </c>
      <c r="J6" s="8">
        <v>12000</v>
      </c>
      <c r="K6" s="7">
        <v>0</v>
      </c>
      <c r="L6" s="8">
        <v>12000</v>
      </c>
      <c r="M6" s="6"/>
      <c r="N6" s="6"/>
      <c r="O6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6" s="9" t="str">
        <f>IF(OR(LOWER(TRIM(tblLoans[[#This Row],[year_of_income_being_tested]]&amp;""))={"","-","?","n/a","na","unk","unknown"}),tblLoans[[#This Row],[year_loan_made]]&amp;"",tblLoans[[#This Row],[year_of_income_being_tested]]&amp;"")</f>
        <v>2019-20</v>
      </c>
      <c r="Q6" s="9">
        <f>IFERROR(INDEX(tblRates[rate],MATCH(tblLoans[[#This Row],[Floor_year]],tblRates[year_of_income],0)),"")</f>
        <v>5.3699999999999998E-2</v>
      </c>
      <c r="R6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6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6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6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6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6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6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6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6" s="9">
        <f>IF(tblLoans[[#This Row],[Status]]="SKIPPED","",IF(ISNUMBER(tblLoans[[#This Row],[remaining_term_years]]),ROUNDUP(tblLoans[[#This Row],[remaining_term_years]],0),""))</f>
        <v>0</v>
      </c>
      <c r="AA6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6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6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nil remaining term under s 109E(6)</v>
      </c>
      <c r="AD6" s="10" t="str">
        <f>IF(OR(tblLoans[[#This Row],[MYR_verdict]]="MYR_MET",tblLoans[[#This Row],[MYR_verdict]]="MYR_SHORT"),tblLoans[[#This Row],[MYR_raw]],"")</f>
        <v/>
      </c>
      <c r="AE6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6" s="10" t="str">
        <f>IF(tblLoans[[#This Row],[MYR_verdict]]="MYR_SHORT",tblLoans[[#This Row],[Shortfall]],"")</f>
        <v/>
      </c>
      <c r="AG6" s="9">
        <f>IF(AND(tblLoans[[#This Row],[Status]]="REVIEWED",OR(tblLoans[[#This Row],[Gate_verdict]]="UNKNOWN",tblLoans[[#This Row],[MYR_verdict]]="UNKNOWN")),1,0)</f>
        <v>0</v>
      </c>
      <c r="AH6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6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6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7" spans="1:36" x14ac:dyDescent="0.25">
      <c r="A7" s="6" t="s">
        <v>63</v>
      </c>
      <c r="B7" s="6" t="s">
        <v>64</v>
      </c>
      <c r="C7" s="6" t="s">
        <v>65</v>
      </c>
      <c r="D7" s="7" t="s">
        <v>48</v>
      </c>
      <c r="E7" s="7" t="s">
        <v>48</v>
      </c>
      <c r="F7" s="7">
        <v>25</v>
      </c>
      <c r="G7" s="7" t="s">
        <v>48</v>
      </c>
      <c r="H7" s="7">
        <v>1.0900000000000001</v>
      </c>
      <c r="I7" s="7">
        <v>4.5199999999999997E-2</v>
      </c>
      <c r="J7" s="8">
        <v>300000</v>
      </c>
      <c r="K7" s="7">
        <v>15</v>
      </c>
      <c r="L7" s="8">
        <v>30000</v>
      </c>
      <c r="M7" s="6"/>
      <c r="N7" s="6"/>
      <c r="O7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7" s="9" t="str">
        <f>IF(OR(LOWER(TRIM(tblLoans[[#This Row],[year_of_income_being_tested]]&amp;""))={"","-","?","n/a","na","unk","unknown"}),tblLoans[[#This Row],[year_loan_made]]&amp;"",tblLoans[[#This Row],[year_of_income_being_tested]]&amp;"")</f>
        <v>2020-21</v>
      </c>
      <c r="Q7" s="9">
        <f>IFERROR(INDEX(tblRates[rate],MATCH(tblLoans[[#This Row],[Floor_year]],tblRates[year_of_income],0)),"")</f>
        <v>4.5199999999999997E-2</v>
      </c>
      <c r="R7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7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7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7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PASS</v>
      </c>
      <c r="V7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7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FAIL</v>
      </c>
      <c r="X7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7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7" s="9">
        <f>IF(tblLoans[[#This Row],[Status]]="SKIPPED","",IF(ISNUMBER(tblLoans[[#This Row],[remaining_term_years]]),ROUNDUP(tblLoans[[#This Row],[remaining_term_years]],0),""))</f>
        <v>15</v>
      </c>
      <c r="AA7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36713.81</v>
      </c>
      <c r="AB7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7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7" s="10" t="str">
        <f>IF(OR(tblLoans[[#This Row],[MYR_verdict]]="MYR_MET",tblLoans[[#This Row],[MYR_verdict]]="MYR_SHORT"),tblLoans[[#This Row],[MYR_raw]],"")</f>
        <v/>
      </c>
      <c r="AE7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7" s="10" t="str">
        <f>IF(tblLoans[[#This Row],[MYR_verdict]]="MYR_SHORT",tblLoans[[#This Row],[Shortfall]],"")</f>
        <v/>
      </c>
      <c r="AG7" s="9">
        <f>IF(AND(tblLoans[[#This Row],[Status]]="REVIEWED",OR(tblLoans[[#This Row],[Gate_verdict]]="UNKNOWN",tblLoans[[#This Row],[MYR_verdict]]="UNKNOWN")),1,0)</f>
        <v>0</v>
      </c>
      <c r="AH7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7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7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8" spans="1:36" x14ac:dyDescent="0.25">
      <c r="A8" s="6" t="s">
        <v>66</v>
      </c>
      <c r="B8" s="6" t="s">
        <v>67</v>
      </c>
      <c r="C8" s="6" t="s">
        <v>47</v>
      </c>
      <c r="D8" s="7" t="s">
        <v>50</v>
      </c>
      <c r="E8" s="7" t="s">
        <v>50</v>
      </c>
      <c r="F8" s="7" t="s">
        <v>50</v>
      </c>
      <c r="G8" s="7" t="s">
        <v>50</v>
      </c>
      <c r="H8" s="7" t="s">
        <v>50</v>
      </c>
      <c r="I8" s="7" t="s">
        <v>50</v>
      </c>
      <c r="J8" s="8" t="s">
        <v>50</v>
      </c>
      <c r="K8" s="7" t="s">
        <v>50</v>
      </c>
      <c r="L8" s="8" t="s">
        <v>50</v>
      </c>
      <c r="M8" s="6" t="s">
        <v>68</v>
      </c>
      <c r="N8" s="6"/>
      <c r="O8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8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8" s="9">
        <f>IFERROR(INDEX(tblRates[rate],MATCH(tblLoans[[#This Row],[Floor_year]],tblRates[year_of_income],0)),"")</f>
        <v>8.2699999999999996E-2</v>
      </c>
      <c r="R8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8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UNKNOWN</v>
      </c>
      <c r="T8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8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UNKNOWN</v>
      </c>
      <c r="V8" s="9" t="str">
        <f>IF(tblLoans[[#This Row],[Limb_secured]]="FAIL",7,IF(tblLoans[[#This Row],[Limb_secured]]="PASS",IF(ISNUMBER(tblLoans[[#This Row],[security_coverage_at_first_made]]),IF(tblLoans[[#This Row],[security_coverage_at_first_made]]&gt;=1.1,25,7),""),""))</f>
        <v/>
      </c>
      <c r="W8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UNKNOWN</v>
      </c>
      <c r="X8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8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8" s="9" t="str">
        <f>IF(tblLoans[[#This Row],[Status]]="SKIPPED","",IF(ISNUMBER(tblLoans[[#This Row],[remaining_term_years]]),ROUNDUP(tblLoans[[#This Row],[remaining_term_years]],0),""))</f>
        <v/>
      </c>
      <c r="AA8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8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8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8" s="10" t="str">
        <f>IF(OR(tblLoans[[#This Row],[MYR_verdict]]="MYR_MET",tblLoans[[#This Row],[MYR_verdict]]="MYR_SHORT"),tblLoans[[#This Row],[MYR_raw]],"")</f>
        <v/>
      </c>
      <c r="AE8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8" s="10" t="str">
        <f>IF(tblLoans[[#This Row],[MYR_verdict]]="MYR_SHORT",tblLoans[[#This Row],[Shortfall]],"")</f>
        <v/>
      </c>
      <c r="AG8" s="9">
        <f>IF(AND(tblLoans[[#This Row],[Status]]="REVIEWED",OR(tblLoans[[#This Row],[Gate_verdict]]="UNKNOWN",tblLoans[[#This Row],[MYR_verdict]]="UNKNOWN")),1,0)</f>
        <v>0</v>
      </c>
      <c r="AH8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8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8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9" spans="1:36" x14ac:dyDescent="0.25">
      <c r="A9" s="6" t="s">
        <v>69</v>
      </c>
      <c r="B9" s="6" t="s">
        <v>70</v>
      </c>
      <c r="C9" s="6" t="s">
        <v>71</v>
      </c>
      <c r="D9" s="7" t="s">
        <v>48</v>
      </c>
      <c r="E9" s="7" t="s">
        <v>48</v>
      </c>
      <c r="F9" s="7">
        <v>7</v>
      </c>
      <c r="G9" s="7" t="s">
        <v>49</v>
      </c>
      <c r="H9" s="7" t="s">
        <v>50</v>
      </c>
      <c r="I9" s="7">
        <v>7.0000000000000007E-2</v>
      </c>
      <c r="J9" s="8">
        <v>40000</v>
      </c>
      <c r="K9" s="7">
        <v>3</v>
      </c>
      <c r="L9" s="8">
        <v>10000</v>
      </c>
      <c r="M9" s="6"/>
      <c r="N9" s="6"/>
      <c r="O9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9" s="9" t="str">
        <f>IF(OR(LOWER(TRIM(tblLoans[[#This Row],[year_of_income_being_tested]]&amp;""))={"","-","?","n/a","na","unk","unknown"}),tblLoans[[#This Row],[year_loan_made]]&amp;"",tblLoans[[#This Row],[year_of_income_being_tested]]&amp;"")</f>
        <v>1996-97</v>
      </c>
      <c r="Q9" s="9" t="str">
        <f>IFERROR(INDEX(tblRates[rate],MATCH(tblLoans[[#This Row],[Floor_year]],tblRates[year_of_income],0)),"")</f>
        <v/>
      </c>
      <c r="R9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9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9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9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9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9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9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9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9" s="9" t="str">
        <f>IF(tblLoans[[#This Row],[Status]]="SKIPPED","",IF(ISNUMBER(tblLoans[[#This Row],[remaining_term_years]]),ROUNDUP(tblLoans[[#This Row],[remaining_term_years]],0),""))</f>
        <v/>
      </c>
      <c r="AA9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9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9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9" s="10" t="str">
        <f>IF(OR(tblLoans[[#This Row],[MYR_verdict]]="MYR_MET",tblLoans[[#This Row],[MYR_verdict]]="MYR_SHORT"),tblLoans[[#This Row],[MYR_raw]],"")</f>
        <v/>
      </c>
      <c r="AE9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9" s="10" t="str">
        <f>IF(tblLoans[[#This Row],[MYR_verdict]]="MYR_SHORT",tblLoans[[#This Row],[Shortfall]],"")</f>
        <v/>
      </c>
      <c r="AG9" s="9">
        <f>IF(AND(tblLoans[[#This Row],[Status]]="REVIEWED",OR(tblLoans[[#This Row],[Gate_verdict]]="UNKNOWN",tblLoans[[#This Row],[MYR_verdict]]="UNKNOWN")),1,0)</f>
        <v>0</v>
      </c>
      <c r="AH9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9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9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</sheetData>
  <dataValidations count="1">
    <dataValidation type="list" allowBlank="1" sqref="G2:G509 D2:E509" xr:uid="{00000000-0002-0000-0100-000000000000}">
      <formula1>"true,false,unknown"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6" max="6" width="90" customWidth="1"/>
  </cols>
  <sheetData>
    <row r="1" spans="1:7" x14ac:dyDescent="0.25">
      <c r="A1" s="5" t="s">
        <v>72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</row>
    <row r="2" spans="1:7" x14ac:dyDescent="0.25">
      <c r="A2" s="6" t="s">
        <v>62</v>
      </c>
      <c r="B2" s="7">
        <v>5.3699999999999998E-2</v>
      </c>
      <c r="C2" s="7" t="s">
        <v>79</v>
      </c>
      <c r="D2" s="7" t="s">
        <v>80</v>
      </c>
      <c r="E2" s="7" t="s">
        <v>81</v>
      </c>
      <c r="F2" s="7" t="s">
        <v>82</v>
      </c>
      <c r="G2" s="7" t="s">
        <v>83</v>
      </c>
    </row>
    <row r="3" spans="1:7" x14ac:dyDescent="0.25">
      <c r="A3" s="6" t="s">
        <v>65</v>
      </c>
      <c r="B3" s="7">
        <v>4.5199999999999997E-2</v>
      </c>
      <c r="C3" s="7" t="s">
        <v>79</v>
      </c>
      <c r="D3" s="7" t="s">
        <v>80</v>
      </c>
      <c r="E3" s="7" t="s">
        <v>84</v>
      </c>
      <c r="F3" s="7" t="s">
        <v>85</v>
      </c>
      <c r="G3" s="7" t="s">
        <v>83</v>
      </c>
    </row>
    <row r="4" spans="1:7" x14ac:dyDescent="0.25">
      <c r="A4" s="6" t="s">
        <v>56</v>
      </c>
      <c r="B4" s="7">
        <v>4.5199999999999997E-2</v>
      </c>
      <c r="C4" s="7" t="s">
        <v>79</v>
      </c>
      <c r="D4" s="7" t="s">
        <v>80</v>
      </c>
      <c r="E4" s="7" t="s">
        <v>86</v>
      </c>
      <c r="F4" s="7" t="s">
        <v>87</v>
      </c>
      <c r="G4" s="7" t="s">
        <v>83</v>
      </c>
    </row>
    <row r="5" spans="1:7" x14ac:dyDescent="0.25">
      <c r="A5" s="6" t="s">
        <v>53</v>
      </c>
      <c r="B5" s="7">
        <v>4.7699999999999999E-2</v>
      </c>
      <c r="C5" s="7" t="s">
        <v>79</v>
      </c>
      <c r="D5" s="7" t="s">
        <v>80</v>
      </c>
      <c r="E5" s="7" t="s">
        <v>88</v>
      </c>
      <c r="F5" s="7" t="s">
        <v>89</v>
      </c>
      <c r="G5" s="7" t="s">
        <v>83</v>
      </c>
    </row>
    <row r="6" spans="1:7" x14ac:dyDescent="0.25">
      <c r="A6" s="6" t="s">
        <v>47</v>
      </c>
      <c r="B6" s="7">
        <v>8.2699999999999996E-2</v>
      </c>
      <c r="C6" s="7" t="s">
        <v>79</v>
      </c>
      <c r="D6" s="7" t="s">
        <v>80</v>
      </c>
      <c r="E6" s="7" t="s">
        <v>90</v>
      </c>
      <c r="F6" s="7" t="s">
        <v>91</v>
      </c>
      <c r="G6" s="7" t="s">
        <v>83</v>
      </c>
    </row>
    <row r="7" spans="1:7" x14ac:dyDescent="0.25">
      <c r="A7" s="6" t="s">
        <v>59</v>
      </c>
      <c r="B7" s="7">
        <v>8.77E-2</v>
      </c>
      <c r="C7" s="7" t="s">
        <v>79</v>
      </c>
      <c r="D7" s="7" t="s">
        <v>80</v>
      </c>
      <c r="E7" s="7" t="s">
        <v>92</v>
      </c>
      <c r="F7" s="7" t="s">
        <v>93</v>
      </c>
      <c r="G7" s="7" t="s">
        <v>83</v>
      </c>
    </row>
    <row r="8" spans="1:7" x14ac:dyDescent="0.25">
      <c r="A8" s="6" t="s">
        <v>94</v>
      </c>
      <c r="B8" s="7">
        <v>8.3699999999999997E-2</v>
      </c>
      <c r="C8" s="7" t="s">
        <v>79</v>
      </c>
      <c r="D8" s="7" t="s">
        <v>80</v>
      </c>
      <c r="E8" s="7" t="s">
        <v>95</v>
      </c>
      <c r="F8" s="7" t="s">
        <v>96</v>
      </c>
      <c r="G8" s="7" t="s">
        <v>83</v>
      </c>
    </row>
    <row r="9" spans="1:7" x14ac:dyDescent="0.25">
      <c r="A9" s="6" t="s">
        <v>97</v>
      </c>
      <c r="B9" s="7">
        <v>8.77E-2</v>
      </c>
      <c r="C9" s="7" t="s">
        <v>79</v>
      </c>
      <c r="D9" s="7" t="s">
        <v>80</v>
      </c>
      <c r="E9" s="7" t="s">
        <v>98</v>
      </c>
      <c r="F9" s="7" t="s">
        <v>99</v>
      </c>
      <c r="G9" s="7" t="s">
        <v>83</v>
      </c>
    </row>
    <row r="12" spans="1:7" x14ac:dyDescent="0.25">
      <c r="A12" t="s">
        <v>100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/>
  </sheetViews>
  <sheetFormatPr defaultRowHeight="15" x14ac:dyDescent="0.25"/>
  <cols>
    <col min="1" max="1" width="52" customWidth="1"/>
    <col min="2" max="2" width="18" customWidth="1"/>
  </cols>
  <sheetData>
    <row r="1" spans="1:2" x14ac:dyDescent="0.25">
      <c r="A1" s="5" t="s">
        <v>101</v>
      </c>
      <c r="B1" s="5"/>
    </row>
    <row r="2" spans="1:2" x14ac:dyDescent="0.25">
      <c r="A2" t="s">
        <v>102</v>
      </c>
      <c r="B2" s="11" t="s">
        <v>97</v>
      </c>
    </row>
    <row r="3" spans="1:2" x14ac:dyDescent="0.25">
      <c r="A3" t="s">
        <v>103</v>
      </c>
      <c r="B3" s="12">
        <f>IFERROR(INDEX(tblRates[rate],MATCH(B2,tblRates[year_of_income],0)),"")</f>
        <v>8.77E-2</v>
      </c>
    </row>
    <row r="4" spans="1:2" x14ac:dyDescent="0.25">
      <c r="A4" t="s">
        <v>104</v>
      </c>
      <c r="B4" s="9">
        <f>IFERROR(VALUE(LEFT(B2,4)),"")</f>
        <v>2026</v>
      </c>
    </row>
    <row r="6" spans="1:2" x14ac:dyDescent="0.25">
      <c r="A6" s="5" t="s">
        <v>105</v>
      </c>
      <c r="B6" s="5"/>
    </row>
    <row r="7" spans="1:2" x14ac:dyDescent="0.25">
      <c r="A7" t="s">
        <v>106</v>
      </c>
      <c r="B7" s="9">
        <f>COUNTIF(tblLoans[Status],"REVIEWED")</f>
        <v>6</v>
      </c>
    </row>
    <row r="8" spans="1:2" x14ac:dyDescent="0.25">
      <c r="A8" t="s">
        <v>107</v>
      </c>
      <c r="B8" s="9">
        <f>COUNTIF(tblLoans[Gate_verdict],"COMPLYING")</f>
        <v>3</v>
      </c>
    </row>
    <row r="9" spans="1:2" x14ac:dyDescent="0.25">
      <c r="A9" t="s">
        <v>108</v>
      </c>
      <c r="B9" s="9">
        <f>COUNTIF(tblLoans[Gate_verdict],"NOT_COMPLYING")</f>
        <v>2</v>
      </c>
    </row>
    <row r="10" spans="1:2" x14ac:dyDescent="0.25">
      <c r="A10" t="s">
        <v>109</v>
      </c>
      <c r="B10" s="9">
        <f>COUNTIF(tblLoans[MYR_verdict],"MYR_MET")</f>
        <v>0</v>
      </c>
    </row>
    <row r="11" spans="1:2" x14ac:dyDescent="0.25">
      <c r="A11" t="s">
        <v>110</v>
      </c>
      <c r="B11" s="9">
        <f>COUNTIF(tblLoans[MYR_verdict],"MYR_SHORT")</f>
        <v>1</v>
      </c>
    </row>
    <row r="12" spans="1:2" x14ac:dyDescent="0.25">
      <c r="A12" t="s">
        <v>111</v>
      </c>
      <c r="B12" s="9">
        <f>SUM(tblLoans[Undecided])</f>
        <v>2</v>
      </c>
    </row>
    <row r="13" spans="1:2" x14ac:dyDescent="0.25">
      <c r="A13" t="s">
        <v>112</v>
      </c>
      <c r="B13" s="9">
        <f>COUNTIF(tblLoans[MYR_verdict],"REFUSED")</f>
        <v>4</v>
      </c>
    </row>
    <row r="14" spans="1:2" x14ac:dyDescent="0.25">
      <c r="A14" t="s">
        <v>113</v>
      </c>
      <c r="B14" s="9">
        <f>COUNTIF(tblLoans[Status],"SKIPPED")</f>
        <v>2</v>
      </c>
    </row>
    <row r="15" spans="1:2" x14ac:dyDescent="0.25">
      <c r="A15" t="s">
        <v>114</v>
      </c>
      <c r="B15" s="10">
        <f>SUM(tblLoans[Exposure])</f>
        <v>2212.37</v>
      </c>
    </row>
    <row r="17" spans="1:2" x14ac:dyDescent="0.25">
      <c r="A17" t="s">
        <v>7</v>
      </c>
      <c r="B17" s="13" t="str">
        <f>'Review Checks'!B10</f>
        <v>REVIEW</v>
      </c>
    </row>
  </sheetData>
  <sheetProtection sheet="1"/>
  <conditionalFormatting sqref="B17">
    <cfRule type="cellIs" dxfId="5" priority="1" operator="equal">
      <formula>"BLOCKED"</formula>
    </cfRule>
    <cfRule type="cellIs" dxfId="4" priority="2" operator="equal">
      <formula>"REVIEW"</formula>
    </cfRule>
    <cfRule type="cellIs" dxfId="3" priority="3" operator="equal">
      <formula>"PASS"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Rates!$A$2:$A$9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/>
  </sheetViews>
  <sheetFormatPr defaultRowHeight="15" x14ac:dyDescent="0.25"/>
  <cols>
    <col min="1" max="1" width="100" customWidth="1"/>
    <col min="2" max="2" width="12" customWidth="1"/>
    <col min="3" max="4" width="16" customWidth="1"/>
  </cols>
  <sheetData>
    <row r="1" spans="1:4" x14ac:dyDescent="0.25">
      <c r="A1" s="5" t="s">
        <v>115</v>
      </c>
      <c r="B1" s="5" t="s">
        <v>116</v>
      </c>
      <c r="C1" s="5" t="s">
        <v>117</v>
      </c>
      <c r="D1" s="5" t="s">
        <v>118</v>
      </c>
    </row>
    <row r="2" spans="1:4" x14ac:dyDescent="0.25">
      <c r="A2" t="s">
        <v>119</v>
      </c>
      <c r="B2" s="9" t="str">
        <f>IF(C2=0,"PASS","BLOCKED")</f>
        <v>PASS</v>
      </c>
      <c r="C2" s="9">
        <f>SUMPRODUCT(--(tblLoans[Input_problem]&lt;&gt;""))</f>
        <v>0</v>
      </c>
      <c r="D2" s="9" t="str">
        <f t="array" ref="D2">IF(C2=0,"",INDEX(tblLoans[loan_id],SUMPRODUCT(MAX((tblLoans[Input_problem]&lt;&gt;"")*(ROW(tblLoans[loan_id])-1)))))</f>
        <v/>
      </c>
    </row>
    <row r="3" spans="1:4" x14ac:dyDescent="0.25">
      <c r="A3" t="s">
        <v>120</v>
      </c>
      <c r="B3" s="9" t="str">
        <f>IF(C3=0,"PASS","BLOCKED")</f>
        <v>PASS</v>
      </c>
      <c r="C3" s="9">
        <f>SUM(tblLoans[Guard])</f>
        <v>0</v>
      </c>
      <c r="D3" s="9" t="str">
        <f t="array" ref="D3">IF(C3=0,"",INDEX(tblLoans[loan_id],SUMPRODUCT(MAX((tblLoans[Guard]=1)*(ROW(tblLoans[loan_id])-1)))))</f>
        <v/>
      </c>
    </row>
    <row r="4" spans="1:4" x14ac:dyDescent="0.25">
      <c r="A4" t="s">
        <v>121</v>
      </c>
      <c r="B4" s="9" t="str">
        <f>IF(ISNUMBER(Summary!B3),"PASS","BLOCKED")</f>
        <v>PASS</v>
      </c>
      <c r="C4" s="9" t="str">
        <f>Summary!B2</f>
        <v>2026-27</v>
      </c>
      <c r="D4" s="9"/>
    </row>
    <row r="5" spans="1:4" x14ac:dyDescent="0.25">
      <c r="A5" t="s">
        <v>122</v>
      </c>
      <c r="B5" s="9" t="str">
        <f>IF(C5=0,"PASS","REVIEW")</f>
        <v>REVIEW</v>
      </c>
      <c r="C5" s="9">
        <f>COUNTIF(tblLoans[Gate_verdict],"NOT_COMPLYING")</f>
        <v>2</v>
      </c>
      <c r="D5" s="9" t="str">
        <f t="array" ref="D5">IF(C5=0,"",INDEX(tblLoans[loan_id],SUMPRODUCT(MAX((tblLoans[Gate_verdict]="NOT_COMPLYING")*(ROW(tblLoans[loan_id])-1)))))</f>
        <v>L-106</v>
      </c>
    </row>
    <row r="6" spans="1:4" x14ac:dyDescent="0.25">
      <c r="A6" t="s">
        <v>123</v>
      </c>
      <c r="B6" s="9" t="str">
        <f>IF(C6=0,"PASS","REVIEW")</f>
        <v>REVIEW</v>
      </c>
      <c r="C6" s="9">
        <f>COUNTIF(tblLoans[MYR_verdict],"MYR_SHORT")</f>
        <v>1</v>
      </c>
      <c r="D6" s="9" t="str">
        <f t="array" ref="D6">IF(C6=0,"",INDEX(tblLoans[loan_id],SUMPRODUCT(MAX((tblLoans[MYR_verdict]="MYR_SHORT")*(ROW(tblLoans[loan_id])-1)))))</f>
        <v>L-101</v>
      </c>
    </row>
    <row r="7" spans="1:4" x14ac:dyDescent="0.25">
      <c r="A7" t="s">
        <v>124</v>
      </c>
      <c r="B7" s="9" t="str">
        <f>IF(C7=0,"PASS","REVIEW")</f>
        <v>REVIEW</v>
      </c>
      <c r="C7" s="9">
        <f>SUM(tblLoans[Undecided])</f>
        <v>2</v>
      </c>
      <c r="D7" s="9" t="str">
        <f t="array" ref="D7">IF(C7=0,"",INDEX(tblLoans[loan_id],SUMPRODUCT(MAX((tblLoans[Undecided]=1)*(ROW(tblLoans[loan_id])-1)))))</f>
        <v>L-104</v>
      </c>
    </row>
    <row r="8" spans="1:4" x14ac:dyDescent="0.25">
      <c r="A8" t="s">
        <v>125</v>
      </c>
      <c r="B8" s="9" t="str">
        <f>IF(C8=0,"PASS","NOTE")</f>
        <v>NOTE</v>
      </c>
      <c r="C8" s="9">
        <f>COUNTIF(tblLoans[MYR_verdict],"REFUSED")</f>
        <v>4</v>
      </c>
      <c r="D8" s="9" t="str">
        <f t="array" ref="D8">IF(C8=0,"",INDEX(tblLoans[loan_id],SUMPRODUCT(MAX((tblLoans[MYR_verdict]="REFUSED")*(ROW(tblLoans[loan_id])-1)))))</f>
        <v>L-106</v>
      </c>
    </row>
    <row r="9" spans="1:4" x14ac:dyDescent="0.25">
      <c r="A9" t="s">
        <v>126</v>
      </c>
      <c r="B9" s="9" t="str">
        <f>IF(C9=0,"PASS","REVIEW")</f>
        <v>REVIEW</v>
      </c>
      <c r="C9" s="9">
        <f>SUM(tblLoans[Sample_row])</f>
        <v>8</v>
      </c>
      <c r="D9" s="9" t="str">
        <f t="array" ref="D9">IF(C9=0,"",INDEX(tblLoans[loan_id],SUMPRODUCT(MAX((tblLoans[Sample_row]=1)*(ROW(tblLoans[loan_id])-1)))))</f>
        <v>L-108</v>
      </c>
    </row>
    <row r="10" spans="1:4" x14ac:dyDescent="0.25">
      <c r="A10" s="3" t="s">
        <v>7</v>
      </c>
      <c r="B10" s="13" t="str">
        <f>IF(COUNTIF(B2:B9,"BLOCKED")&gt;0,"BLOCKED",IF(COUNTIF(B2:B9,"REVIEW")&gt;0,"REVIEW","PASS"))</f>
        <v>REVIEW</v>
      </c>
    </row>
    <row r="12" spans="1:4" x14ac:dyDescent="0.25">
      <c r="A12" s="5" t="s">
        <v>127</v>
      </c>
    </row>
    <row r="13" spans="1:4" ht="45" x14ac:dyDescent="0.25">
      <c r="A13" s="14" t="s">
        <v>128</v>
      </c>
    </row>
    <row r="14" spans="1:4" ht="30" x14ac:dyDescent="0.25">
      <c r="A14" s="14" t="s">
        <v>129</v>
      </c>
    </row>
    <row r="15" spans="1:4" ht="45" x14ac:dyDescent="0.25">
      <c r="A15" s="14" t="s">
        <v>130</v>
      </c>
    </row>
    <row r="16" spans="1:4" ht="45" x14ac:dyDescent="0.25">
      <c r="A16" s="14" t="s">
        <v>131</v>
      </c>
    </row>
    <row r="17" spans="1:1" ht="30" x14ac:dyDescent="0.25">
      <c r="A17" s="14" t="s">
        <v>132</v>
      </c>
    </row>
  </sheetData>
  <sheetProtection sheet="1"/>
  <conditionalFormatting sqref="B2:B10">
    <cfRule type="cellIs" dxfId="2" priority="1" operator="equal">
      <formula>"BLOCKED"</formula>
    </cfRule>
    <cfRule type="cellIs" dxfId="1" priority="2" operator="equal">
      <formula>"REVIEW"</formula>
    </cfRule>
    <cfRule type="cellIs" dxfId="0" priority="3" operator="equal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5" x14ac:dyDescent="0.25"/>
  <cols>
    <col min="1" max="1" width="52" customWidth="1"/>
    <col min="2" max="2" width="110" customWidth="1"/>
  </cols>
  <sheetData>
    <row r="1" spans="1:2" x14ac:dyDescent="0.25">
      <c r="A1" s="5" t="s">
        <v>133</v>
      </c>
      <c r="B1" s="5" t="s">
        <v>134</v>
      </c>
    </row>
    <row r="2" spans="1:2" x14ac:dyDescent="0.25">
      <c r="A2" t="s">
        <v>135</v>
      </c>
      <c r="B2" t="s">
        <v>136</v>
      </c>
    </row>
    <row r="3" spans="1:2" x14ac:dyDescent="0.25">
      <c r="A3" t="s">
        <v>137</v>
      </c>
      <c r="B3" t="s">
        <v>150</v>
      </c>
    </row>
    <row r="4" spans="1:2" x14ac:dyDescent="0.25">
      <c r="A4" t="s">
        <v>138</v>
      </c>
      <c r="B4" t="s">
        <v>139</v>
      </c>
    </row>
    <row r="5" spans="1:2" x14ac:dyDescent="0.25">
      <c r="A5" t="s">
        <v>140</v>
      </c>
      <c r="B5" t="s">
        <v>141</v>
      </c>
    </row>
    <row r="6" spans="1:2" x14ac:dyDescent="0.25">
      <c r="A6" t="s">
        <v>142</v>
      </c>
      <c r="B6" t="s">
        <v>143</v>
      </c>
    </row>
    <row r="7" spans="1:2" x14ac:dyDescent="0.25">
      <c r="A7" t="s">
        <v>144</v>
      </c>
      <c r="B7" t="s">
        <v>97</v>
      </c>
    </row>
    <row r="8" spans="1:2" x14ac:dyDescent="0.25">
      <c r="A8" t="s">
        <v>145</v>
      </c>
      <c r="B8" t="s">
        <v>83</v>
      </c>
    </row>
    <row r="9" spans="1:2" x14ac:dyDescent="0.25">
      <c r="A9" t="s">
        <v>146</v>
      </c>
      <c r="B9" t="s">
        <v>147</v>
      </c>
    </row>
    <row r="10" spans="1:2" x14ac:dyDescent="0.25">
      <c r="A10" t="s">
        <v>148</v>
      </c>
      <c r="B10" t="s">
        <v>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Register</vt:lpstr>
      <vt:lpstr>Rates</vt:lpstr>
      <vt:lpstr>Summary</vt:lpstr>
      <vt:lpstr>Review Checks</vt:lpstr>
      <vt:lpstr>Sources &amp;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Duguid</cp:lastModifiedBy>
  <dcterms:created xsi:type="dcterms:W3CDTF">2026-09-12T08:16:16Z</dcterms:created>
  <dcterms:modified xsi:type="dcterms:W3CDTF">2026-09-12T08:16:17Z</dcterms:modified>
</cp:coreProperties>
</file>